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1\Desktop\"/>
    </mc:Choice>
  </mc:AlternateContent>
  <xr:revisionPtr revIDLastSave="0" documentId="13_ncr:1_{B8D36DD1-09F5-437C-B077-89D4D72AAC07}" xr6:coauthVersionLast="47" xr6:coauthVersionMax="47" xr10:uidLastSave="{00000000-0000-0000-0000-000000000000}"/>
  <bookViews>
    <workbookView xWindow="-110" yWindow="-110" windowWidth="19420" windowHeight="10300" xr2:uid="{1D90EBF1-A93F-4733-A9B9-8955500716AB}"/>
  </bookViews>
  <sheets>
    <sheet name="aai" sheetId="1" r:id="rId1"/>
  </sheets>
  <definedNames>
    <definedName name="_xlnm.Print_Area" localSheetId="0">aai!$A$1:$I$479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0" i="1" l="1"/>
  <c r="J20" i="1"/>
  <c r="G13" i="1"/>
  <c r="G15" i="1" s="1"/>
  <c r="H13" i="1"/>
  <c r="H15" i="1" s="1"/>
  <c r="J13" i="1"/>
  <c r="D13" i="1"/>
  <c r="D15" i="1" s="1"/>
  <c r="D20" i="1" s="1"/>
  <c r="E13" i="1"/>
  <c r="G479" i="1"/>
  <c r="H479" i="1" s="1"/>
  <c r="I479" i="1" s="1"/>
  <c r="G478" i="1"/>
  <c r="H478" i="1" s="1"/>
  <c r="I478" i="1" s="1"/>
  <c r="H123" i="1"/>
  <c r="I123" i="1" s="1"/>
  <c r="H124" i="1"/>
  <c r="I124" i="1" s="1"/>
  <c r="H125" i="1"/>
  <c r="I125" i="1" s="1"/>
  <c r="H126" i="1"/>
  <c r="I126" i="1" s="1"/>
  <c r="H127" i="1"/>
  <c r="I127" i="1" s="1"/>
  <c r="H128" i="1"/>
  <c r="I128" i="1" s="1"/>
  <c r="H129" i="1"/>
  <c r="I129" i="1" s="1"/>
  <c r="H130" i="1"/>
  <c r="I130" i="1" s="1"/>
  <c r="H131" i="1"/>
  <c r="I131" i="1" s="1"/>
  <c r="H132" i="1"/>
  <c r="I132" i="1" s="1"/>
  <c r="H133" i="1"/>
  <c r="I133" i="1" s="1"/>
  <c r="H134" i="1"/>
  <c r="I134" i="1" s="1"/>
  <c r="G473" i="1"/>
  <c r="H473" i="1" s="1"/>
  <c r="I473" i="1" s="1"/>
  <c r="G472" i="1"/>
  <c r="H472" i="1" s="1"/>
  <c r="I472" i="1" s="1"/>
  <c r="G471" i="1"/>
  <c r="H471" i="1" s="1"/>
  <c r="I471" i="1" s="1"/>
  <c r="G470" i="1"/>
  <c r="H470" i="1" s="1"/>
  <c r="I470" i="1" s="1"/>
  <c r="G469" i="1"/>
  <c r="H469" i="1" s="1"/>
  <c r="I469" i="1" s="1"/>
  <c r="G468" i="1"/>
  <c r="H468" i="1" s="1"/>
  <c r="I468" i="1" s="1"/>
  <c r="G467" i="1"/>
  <c r="H467" i="1" s="1"/>
  <c r="I467" i="1" s="1"/>
  <c r="G466" i="1"/>
  <c r="H466" i="1" s="1"/>
  <c r="I466" i="1" s="1"/>
  <c r="G465" i="1"/>
  <c r="H465" i="1" s="1"/>
  <c r="I465" i="1" s="1"/>
  <c r="G464" i="1"/>
  <c r="H464" i="1" s="1"/>
  <c r="I464" i="1" s="1"/>
  <c r="G463" i="1"/>
  <c r="H463" i="1" s="1"/>
  <c r="I463" i="1" s="1"/>
  <c r="G462" i="1"/>
  <c r="H462" i="1" s="1"/>
  <c r="I462" i="1" s="1"/>
  <c r="G461" i="1"/>
  <c r="H461" i="1" s="1"/>
  <c r="I461" i="1" s="1"/>
  <c r="G460" i="1"/>
  <c r="H460" i="1" s="1"/>
  <c r="I460" i="1" s="1"/>
  <c r="G459" i="1"/>
  <c r="H459" i="1" s="1"/>
  <c r="I459" i="1" s="1"/>
  <c r="G458" i="1"/>
  <c r="H458" i="1" s="1"/>
  <c r="I458" i="1" s="1"/>
  <c r="G453" i="1"/>
  <c r="H453" i="1" s="1"/>
  <c r="I453" i="1" s="1"/>
  <c r="G452" i="1"/>
  <c r="H452" i="1" s="1"/>
  <c r="I452" i="1" s="1"/>
  <c r="G451" i="1"/>
  <c r="H451" i="1" s="1"/>
  <c r="I451" i="1" s="1"/>
  <c r="G450" i="1"/>
  <c r="H450" i="1" s="1"/>
  <c r="I450" i="1" s="1"/>
  <c r="G449" i="1"/>
  <c r="H449" i="1" s="1"/>
  <c r="I449" i="1" s="1"/>
  <c r="G448" i="1"/>
  <c r="H448" i="1" s="1"/>
  <c r="I448" i="1" s="1"/>
  <c r="G447" i="1"/>
  <c r="H447" i="1" s="1"/>
  <c r="I447" i="1" s="1"/>
  <c r="G446" i="1"/>
  <c r="H446" i="1" s="1"/>
  <c r="I446" i="1" s="1"/>
  <c r="G445" i="1"/>
  <c r="H445" i="1" s="1"/>
  <c r="I445" i="1" s="1"/>
  <c r="G444" i="1"/>
  <c r="H444" i="1" s="1"/>
  <c r="I444" i="1" s="1"/>
  <c r="G443" i="1"/>
  <c r="H443" i="1" s="1"/>
  <c r="I443" i="1" s="1"/>
  <c r="G442" i="1"/>
  <c r="H442" i="1" s="1"/>
  <c r="I442" i="1" s="1"/>
  <c r="G441" i="1"/>
  <c r="H441" i="1" s="1"/>
  <c r="I441" i="1" s="1"/>
  <c r="G440" i="1"/>
  <c r="H440" i="1" s="1"/>
  <c r="I440" i="1" s="1"/>
  <c r="G439" i="1"/>
  <c r="H439" i="1" s="1"/>
  <c r="I439" i="1" s="1"/>
  <c r="G438" i="1"/>
  <c r="H438" i="1" s="1"/>
  <c r="I438" i="1" s="1"/>
  <c r="G437" i="1"/>
  <c r="H437" i="1" s="1"/>
  <c r="I437" i="1" s="1"/>
  <c r="G436" i="1"/>
  <c r="H436" i="1" s="1"/>
  <c r="I436" i="1" s="1"/>
  <c r="G435" i="1"/>
  <c r="H435" i="1" s="1"/>
  <c r="I435" i="1" s="1"/>
  <c r="G434" i="1"/>
  <c r="H434" i="1" s="1"/>
  <c r="I434" i="1" s="1"/>
  <c r="G433" i="1"/>
  <c r="H433" i="1" s="1"/>
  <c r="I433" i="1" s="1"/>
  <c r="G432" i="1"/>
  <c r="H432" i="1" s="1"/>
  <c r="I432" i="1" s="1"/>
  <c r="G431" i="1"/>
  <c r="H431" i="1" s="1"/>
  <c r="I431" i="1" s="1"/>
  <c r="G430" i="1"/>
  <c r="H430" i="1" s="1"/>
  <c r="I430" i="1" s="1"/>
  <c r="G429" i="1"/>
  <c r="H429" i="1" s="1"/>
  <c r="I429" i="1" s="1"/>
  <c r="G428" i="1"/>
  <c r="H428" i="1" s="1"/>
  <c r="I428" i="1" s="1"/>
  <c r="G427" i="1"/>
  <c r="H427" i="1" s="1"/>
  <c r="I427" i="1" s="1"/>
  <c r="G426" i="1"/>
  <c r="H426" i="1" s="1"/>
  <c r="I426" i="1" s="1"/>
  <c r="G425" i="1"/>
  <c r="H425" i="1" s="1"/>
  <c r="I425" i="1" s="1"/>
  <c r="G424" i="1"/>
  <c r="H424" i="1" s="1"/>
  <c r="I424" i="1" s="1"/>
  <c r="G423" i="1"/>
  <c r="H423" i="1" s="1"/>
  <c r="I423" i="1" s="1"/>
  <c r="G422" i="1"/>
  <c r="H422" i="1" s="1"/>
  <c r="I422" i="1" s="1"/>
  <c r="G421" i="1"/>
  <c r="H421" i="1" s="1"/>
  <c r="I421" i="1" s="1"/>
  <c r="G420" i="1"/>
  <c r="H420" i="1" s="1"/>
  <c r="I420" i="1" s="1"/>
  <c r="G419" i="1"/>
  <c r="H419" i="1" s="1"/>
  <c r="I419" i="1" s="1"/>
  <c r="G418" i="1"/>
  <c r="H418" i="1" s="1"/>
  <c r="I418" i="1" s="1"/>
  <c r="G417" i="1"/>
  <c r="H417" i="1" s="1"/>
  <c r="I417" i="1" s="1"/>
  <c r="G416" i="1"/>
  <c r="H416" i="1" s="1"/>
  <c r="I416" i="1" s="1"/>
  <c r="G415" i="1"/>
  <c r="H415" i="1" s="1"/>
  <c r="I415" i="1" s="1"/>
  <c r="G414" i="1"/>
  <c r="H414" i="1" s="1"/>
  <c r="I414" i="1" s="1"/>
  <c r="G413" i="1"/>
  <c r="H413" i="1" s="1"/>
  <c r="I413" i="1" s="1"/>
  <c r="G412" i="1"/>
  <c r="H412" i="1" s="1"/>
  <c r="I412" i="1" s="1"/>
  <c r="G411" i="1"/>
  <c r="H411" i="1" s="1"/>
  <c r="I411" i="1" s="1"/>
  <c r="G410" i="1"/>
  <c r="H410" i="1" s="1"/>
  <c r="I410" i="1" s="1"/>
  <c r="G409" i="1"/>
  <c r="H409" i="1" s="1"/>
  <c r="I409" i="1" s="1"/>
  <c r="G408" i="1"/>
  <c r="H408" i="1" s="1"/>
  <c r="I408" i="1" s="1"/>
  <c r="G407" i="1"/>
  <c r="H407" i="1" s="1"/>
  <c r="I407" i="1" s="1"/>
  <c r="G406" i="1"/>
  <c r="H406" i="1" s="1"/>
  <c r="I406" i="1" s="1"/>
  <c r="G405" i="1"/>
  <c r="H405" i="1" s="1"/>
  <c r="I405" i="1" s="1"/>
  <c r="G404" i="1"/>
  <c r="H404" i="1" s="1"/>
  <c r="I404" i="1" s="1"/>
  <c r="G403" i="1"/>
  <c r="H403" i="1" s="1"/>
  <c r="I403" i="1" s="1"/>
  <c r="G402" i="1"/>
  <c r="H402" i="1" s="1"/>
  <c r="I402" i="1" s="1"/>
  <c r="G401" i="1"/>
  <c r="H401" i="1" s="1"/>
  <c r="I401" i="1" s="1"/>
  <c r="G400" i="1"/>
  <c r="H400" i="1" s="1"/>
  <c r="I400" i="1" s="1"/>
  <c r="G399" i="1"/>
  <c r="H399" i="1" s="1"/>
  <c r="I399" i="1" s="1"/>
  <c r="G398" i="1"/>
  <c r="H398" i="1" s="1"/>
  <c r="I398" i="1" s="1"/>
  <c r="G397" i="1"/>
  <c r="H397" i="1" s="1"/>
  <c r="I397" i="1" s="1"/>
  <c r="G396" i="1"/>
  <c r="H396" i="1" s="1"/>
  <c r="I396" i="1" s="1"/>
  <c r="G395" i="1"/>
  <c r="H395" i="1" s="1"/>
  <c r="I395" i="1" s="1"/>
  <c r="G394" i="1"/>
  <c r="H394" i="1" s="1"/>
  <c r="I394" i="1" s="1"/>
  <c r="G393" i="1"/>
  <c r="H393" i="1" s="1"/>
  <c r="I393" i="1" s="1"/>
  <c r="G392" i="1"/>
  <c r="H392" i="1" s="1"/>
  <c r="I392" i="1" s="1"/>
  <c r="G391" i="1"/>
  <c r="H391" i="1" s="1"/>
  <c r="I391" i="1" s="1"/>
  <c r="G390" i="1"/>
  <c r="H390" i="1" s="1"/>
  <c r="I390" i="1" s="1"/>
  <c r="G389" i="1"/>
  <c r="H389" i="1" s="1"/>
  <c r="I389" i="1" s="1"/>
  <c r="G388" i="1"/>
  <c r="H388" i="1" s="1"/>
  <c r="I388" i="1" s="1"/>
  <c r="G387" i="1"/>
  <c r="H387" i="1" s="1"/>
  <c r="I387" i="1" s="1"/>
  <c r="G386" i="1"/>
  <c r="H386" i="1" s="1"/>
  <c r="I386" i="1" s="1"/>
  <c r="G385" i="1"/>
  <c r="H385" i="1" s="1"/>
  <c r="I385" i="1" s="1"/>
  <c r="G384" i="1"/>
  <c r="H384" i="1" s="1"/>
  <c r="I384" i="1" s="1"/>
  <c r="G383" i="1"/>
  <c r="H383" i="1" s="1"/>
  <c r="I383" i="1" s="1"/>
  <c r="G382" i="1"/>
  <c r="H382" i="1" s="1"/>
  <c r="I382" i="1" s="1"/>
  <c r="G381" i="1"/>
  <c r="H381" i="1" s="1"/>
  <c r="I381" i="1" s="1"/>
  <c r="G380" i="1"/>
  <c r="H380" i="1" s="1"/>
  <c r="I380" i="1" s="1"/>
  <c r="G379" i="1"/>
  <c r="H379" i="1" s="1"/>
  <c r="I379" i="1" s="1"/>
  <c r="G374" i="1"/>
  <c r="H374" i="1" s="1"/>
  <c r="I374" i="1" s="1"/>
  <c r="G373" i="1"/>
  <c r="H373" i="1" s="1"/>
  <c r="I373" i="1" s="1"/>
  <c r="G372" i="1"/>
  <c r="H372" i="1" s="1"/>
  <c r="I372" i="1" s="1"/>
  <c r="G371" i="1"/>
  <c r="H371" i="1" s="1"/>
  <c r="I371" i="1" s="1"/>
  <c r="G370" i="1"/>
  <c r="H370" i="1" s="1"/>
  <c r="I370" i="1" s="1"/>
  <c r="G369" i="1"/>
  <c r="H369" i="1" s="1"/>
  <c r="I369" i="1" s="1"/>
  <c r="G368" i="1"/>
  <c r="H368" i="1" s="1"/>
  <c r="I368" i="1" s="1"/>
  <c r="G367" i="1"/>
  <c r="H367" i="1" s="1"/>
  <c r="I367" i="1" s="1"/>
  <c r="G366" i="1"/>
  <c r="H366" i="1" s="1"/>
  <c r="I366" i="1" s="1"/>
  <c r="G365" i="1"/>
  <c r="H365" i="1" s="1"/>
  <c r="I365" i="1" s="1"/>
  <c r="G364" i="1"/>
  <c r="H364" i="1" s="1"/>
  <c r="I364" i="1" s="1"/>
  <c r="G363" i="1"/>
  <c r="H363" i="1" s="1"/>
  <c r="I363" i="1" s="1"/>
  <c r="G362" i="1"/>
  <c r="H362" i="1" s="1"/>
  <c r="I362" i="1" s="1"/>
  <c r="G361" i="1"/>
  <c r="H361" i="1" s="1"/>
  <c r="I361" i="1" s="1"/>
  <c r="G360" i="1"/>
  <c r="H360" i="1" s="1"/>
  <c r="I360" i="1" s="1"/>
  <c r="G359" i="1"/>
  <c r="H359" i="1" s="1"/>
  <c r="I359" i="1" s="1"/>
  <c r="G358" i="1"/>
  <c r="H358" i="1" s="1"/>
  <c r="I358" i="1" s="1"/>
  <c r="G357" i="1"/>
  <c r="H357" i="1" s="1"/>
  <c r="I357" i="1" s="1"/>
  <c r="G356" i="1"/>
  <c r="H356" i="1" s="1"/>
  <c r="I356" i="1" s="1"/>
  <c r="G355" i="1"/>
  <c r="H355" i="1" s="1"/>
  <c r="I355" i="1" s="1"/>
  <c r="G354" i="1"/>
  <c r="H354" i="1" s="1"/>
  <c r="I354" i="1" s="1"/>
  <c r="G353" i="1"/>
  <c r="H353" i="1" s="1"/>
  <c r="I353" i="1" s="1"/>
  <c r="G352" i="1"/>
  <c r="H352" i="1" s="1"/>
  <c r="I352" i="1" s="1"/>
  <c r="G351" i="1"/>
  <c r="H351" i="1" s="1"/>
  <c r="I351" i="1" s="1"/>
  <c r="G350" i="1"/>
  <c r="H350" i="1" s="1"/>
  <c r="I350" i="1" s="1"/>
  <c r="G349" i="1"/>
  <c r="H349" i="1" s="1"/>
  <c r="I349" i="1" s="1"/>
  <c r="G348" i="1"/>
  <c r="H348" i="1" s="1"/>
  <c r="I348" i="1" s="1"/>
  <c r="G347" i="1"/>
  <c r="H347" i="1" s="1"/>
  <c r="I347" i="1" s="1"/>
  <c r="G346" i="1"/>
  <c r="H346" i="1" s="1"/>
  <c r="I346" i="1" s="1"/>
  <c r="G345" i="1"/>
  <c r="H345" i="1" s="1"/>
  <c r="I345" i="1" s="1"/>
  <c r="G344" i="1"/>
  <c r="H344" i="1" s="1"/>
  <c r="I344" i="1" s="1"/>
  <c r="G343" i="1"/>
  <c r="H343" i="1" s="1"/>
  <c r="I343" i="1" s="1"/>
  <c r="G342" i="1"/>
  <c r="H342" i="1" s="1"/>
  <c r="I342" i="1" s="1"/>
  <c r="G341" i="1"/>
  <c r="H341" i="1" s="1"/>
  <c r="I341" i="1" s="1"/>
  <c r="G340" i="1"/>
  <c r="H340" i="1" s="1"/>
  <c r="I340" i="1" s="1"/>
  <c r="G339" i="1"/>
  <c r="H339" i="1" s="1"/>
  <c r="I339" i="1" s="1"/>
  <c r="G338" i="1"/>
  <c r="H338" i="1" s="1"/>
  <c r="I338" i="1" s="1"/>
  <c r="G337" i="1"/>
  <c r="H337" i="1" s="1"/>
  <c r="I337" i="1" s="1"/>
  <c r="G336" i="1"/>
  <c r="H336" i="1" s="1"/>
  <c r="I336" i="1" s="1"/>
  <c r="G335" i="1"/>
  <c r="H335" i="1" s="1"/>
  <c r="I335" i="1" s="1"/>
  <c r="G334" i="1"/>
  <c r="H334" i="1" s="1"/>
  <c r="I334" i="1" s="1"/>
  <c r="G333" i="1"/>
  <c r="H333" i="1" s="1"/>
  <c r="I333" i="1" s="1"/>
  <c r="G332" i="1"/>
  <c r="H332" i="1" s="1"/>
  <c r="I332" i="1" s="1"/>
  <c r="G331" i="1"/>
  <c r="H331" i="1" s="1"/>
  <c r="I331" i="1" s="1"/>
  <c r="G330" i="1"/>
  <c r="H330" i="1" s="1"/>
  <c r="I330" i="1" s="1"/>
  <c r="G329" i="1"/>
  <c r="H329" i="1" s="1"/>
  <c r="I329" i="1" s="1"/>
  <c r="G328" i="1"/>
  <c r="H328" i="1" s="1"/>
  <c r="I328" i="1" s="1"/>
  <c r="G327" i="1"/>
  <c r="H327" i="1" s="1"/>
  <c r="I327" i="1" s="1"/>
  <c r="G326" i="1"/>
  <c r="H326" i="1" s="1"/>
  <c r="I326" i="1" s="1"/>
  <c r="G325" i="1"/>
  <c r="H325" i="1" s="1"/>
  <c r="I325" i="1" s="1"/>
  <c r="G324" i="1"/>
  <c r="H324" i="1" s="1"/>
  <c r="I324" i="1" s="1"/>
  <c r="G323" i="1"/>
  <c r="H323" i="1" s="1"/>
  <c r="I323" i="1" s="1"/>
  <c r="G322" i="1"/>
  <c r="H322" i="1" s="1"/>
  <c r="I322" i="1" s="1"/>
  <c r="G321" i="1"/>
  <c r="H321" i="1" s="1"/>
  <c r="I321" i="1" s="1"/>
  <c r="G320" i="1"/>
  <c r="H320" i="1" s="1"/>
  <c r="I320" i="1" s="1"/>
  <c r="G319" i="1"/>
  <c r="H319" i="1" s="1"/>
  <c r="I319" i="1" s="1"/>
  <c r="G318" i="1"/>
  <c r="H318" i="1" s="1"/>
  <c r="I318" i="1" s="1"/>
  <c r="G317" i="1"/>
  <c r="H317" i="1" s="1"/>
  <c r="I317" i="1" s="1"/>
  <c r="G316" i="1"/>
  <c r="H316" i="1" s="1"/>
  <c r="I316" i="1" s="1"/>
  <c r="G315" i="1"/>
  <c r="H315" i="1" s="1"/>
  <c r="I315" i="1" s="1"/>
  <c r="G314" i="1"/>
  <c r="H314" i="1" s="1"/>
  <c r="I314" i="1" s="1"/>
  <c r="G313" i="1"/>
  <c r="H313" i="1" s="1"/>
  <c r="I313" i="1" s="1"/>
  <c r="G312" i="1"/>
  <c r="H312" i="1" s="1"/>
  <c r="I312" i="1" s="1"/>
  <c r="G311" i="1"/>
  <c r="H311" i="1" s="1"/>
  <c r="I311" i="1" s="1"/>
  <c r="G310" i="1"/>
  <c r="H310" i="1" s="1"/>
  <c r="I310" i="1" s="1"/>
  <c r="G309" i="1"/>
  <c r="H309" i="1" s="1"/>
  <c r="I309" i="1" s="1"/>
  <c r="G308" i="1"/>
  <c r="H308" i="1" s="1"/>
  <c r="I308" i="1" s="1"/>
  <c r="G307" i="1"/>
  <c r="H307" i="1" s="1"/>
  <c r="I307" i="1" s="1"/>
  <c r="G306" i="1"/>
  <c r="H306" i="1" s="1"/>
  <c r="I306" i="1" s="1"/>
  <c r="G305" i="1"/>
  <c r="H305" i="1" s="1"/>
  <c r="I305" i="1" s="1"/>
  <c r="G304" i="1"/>
  <c r="H304" i="1" s="1"/>
  <c r="I304" i="1" s="1"/>
  <c r="G303" i="1"/>
  <c r="H303" i="1" s="1"/>
  <c r="I303" i="1" s="1"/>
  <c r="G302" i="1"/>
  <c r="H302" i="1" s="1"/>
  <c r="I302" i="1" s="1"/>
  <c r="G301" i="1"/>
  <c r="H301" i="1" s="1"/>
  <c r="I301" i="1" s="1"/>
  <c r="G300" i="1"/>
  <c r="H300" i="1" s="1"/>
  <c r="I300" i="1" s="1"/>
  <c r="G299" i="1"/>
  <c r="H299" i="1" s="1"/>
  <c r="I299" i="1" s="1"/>
  <c r="G298" i="1"/>
  <c r="H298" i="1" s="1"/>
  <c r="I298" i="1" s="1"/>
  <c r="G297" i="1"/>
  <c r="H297" i="1" s="1"/>
  <c r="I297" i="1" s="1"/>
  <c r="G296" i="1"/>
  <c r="H296" i="1" s="1"/>
  <c r="I296" i="1" s="1"/>
  <c r="G295" i="1"/>
  <c r="H295" i="1" s="1"/>
  <c r="I295" i="1" s="1"/>
  <c r="G294" i="1"/>
  <c r="H294" i="1" s="1"/>
  <c r="I294" i="1" s="1"/>
  <c r="G293" i="1"/>
  <c r="H293" i="1" s="1"/>
  <c r="I293" i="1" s="1"/>
  <c r="G288" i="1"/>
  <c r="H288" i="1" s="1"/>
  <c r="I288" i="1" s="1"/>
  <c r="G287" i="1"/>
  <c r="H287" i="1" s="1"/>
  <c r="I287" i="1" s="1"/>
  <c r="G286" i="1"/>
  <c r="H286" i="1" s="1"/>
  <c r="I286" i="1" s="1"/>
  <c r="G285" i="1"/>
  <c r="H285" i="1" s="1"/>
  <c r="I285" i="1" s="1"/>
  <c r="G284" i="1"/>
  <c r="H284" i="1" s="1"/>
  <c r="I284" i="1" s="1"/>
  <c r="G283" i="1"/>
  <c r="H283" i="1" s="1"/>
  <c r="I283" i="1" s="1"/>
  <c r="G282" i="1"/>
  <c r="H282" i="1" s="1"/>
  <c r="I282" i="1" s="1"/>
  <c r="G281" i="1"/>
  <c r="H281" i="1" s="1"/>
  <c r="I281" i="1" s="1"/>
  <c r="G280" i="1"/>
  <c r="H280" i="1" s="1"/>
  <c r="I280" i="1" s="1"/>
  <c r="G279" i="1"/>
  <c r="H279" i="1" s="1"/>
  <c r="I279" i="1" s="1"/>
  <c r="G278" i="1"/>
  <c r="H278" i="1" s="1"/>
  <c r="I278" i="1" s="1"/>
  <c r="G273" i="1"/>
  <c r="H273" i="1" s="1"/>
  <c r="I273" i="1" s="1"/>
  <c r="G272" i="1"/>
  <c r="H272" i="1" s="1"/>
  <c r="I272" i="1" s="1"/>
  <c r="G271" i="1"/>
  <c r="H271" i="1" s="1"/>
  <c r="I271" i="1" s="1"/>
  <c r="G270" i="1"/>
  <c r="H270" i="1" s="1"/>
  <c r="I270" i="1" s="1"/>
  <c r="G269" i="1"/>
  <c r="H269" i="1" s="1"/>
  <c r="I269" i="1" s="1"/>
  <c r="G268" i="1"/>
  <c r="H268" i="1" s="1"/>
  <c r="I268" i="1" s="1"/>
  <c r="G267" i="1"/>
  <c r="H267" i="1" s="1"/>
  <c r="I267" i="1" s="1"/>
  <c r="G266" i="1"/>
  <c r="H266" i="1" s="1"/>
  <c r="I266" i="1" s="1"/>
  <c r="G265" i="1"/>
  <c r="H265" i="1" s="1"/>
  <c r="I265" i="1" s="1"/>
  <c r="G264" i="1"/>
  <c r="H264" i="1" s="1"/>
  <c r="I264" i="1" s="1"/>
  <c r="G263" i="1"/>
  <c r="H263" i="1" s="1"/>
  <c r="I263" i="1" s="1"/>
  <c r="G262" i="1"/>
  <c r="H262" i="1" s="1"/>
  <c r="I262" i="1" s="1"/>
  <c r="G261" i="1"/>
  <c r="H261" i="1" s="1"/>
  <c r="I261" i="1" s="1"/>
  <c r="G260" i="1"/>
  <c r="H260" i="1" s="1"/>
  <c r="I260" i="1" s="1"/>
  <c r="G259" i="1"/>
  <c r="H259" i="1" s="1"/>
  <c r="I259" i="1" s="1"/>
  <c r="G258" i="1"/>
  <c r="H258" i="1" s="1"/>
  <c r="I258" i="1" s="1"/>
  <c r="G257" i="1"/>
  <c r="H257" i="1" s="1"/>
  <c r="I257" i="1" s="1"/>
  <c r="G256" i="1"/>
  <c r="H256" i="1" s="1"/>
  <c r="I256" i="1" s="1"/>
  <c r="G255" i="1"/>
  <c r="H255" i="1" s="1"/>
  <c r="I255" i="1" s="1"/>
  <c r="G254" i="1"/>
  <c r="H254" i="1" s="1"/>
  <c r="I254" i="1" s="1"/>
  <c r="G253" i="1"/>
  <c r="H253" i="1" s="1"/>
  <c r="I253" i="1" s="1"/>
  <c r="G252" i="1"/>
  <c r="H252" i="1" s="1"/>
  <c r="I252" i="1" s="1"/>
  <c r="G251" i="1"/>
  <c r="H251" i="1" s="1"/>
  <c r="I251" i="1" s="1"/>
  <c r="G244" i="1"/>
  <c r="H244" i="1" s="1"/>
  <c r="I244" i="1" s="1"/>
  <c r="G243" i="1"/>
  <c r="H243" i="1" s="1"/>
  <c r="I243" i="1" s="1"/>
  <c r="G242" i="1"/>
  <c r="H242" i="1" s="1"/>
  <c r="I242" i="1" s="1"/>
  <c r="G241" i="1"/>
  <c r="H241" i="1" s="1"/>
  <c r="I241" i="1" s="1"/>
  <c r="G240" i="1"/>
  <c r="H240" i="1" s="1"/>
  <c r="I240" i="1" s="1"/>
  <c r="G239" i="1"/>
  <c r="H239" i="1" s="1"/>
  <c r="I239" i="1" s="1"/>
  <c r="G238" i="1"/>
  <c r="H238" i="1" s="1"/>
  <c r="I238" i="1" s="1"/>
  <c r="G237" i="1"/>
  <c r="H237" i="1" s="1"/>
  <c r="I237" i="1" s="1"/>
  <c r="G236" i="1"/>
  <c r="H236" i="1" s="1"/>
  <c r="I236" i="1" s="1"/>
  <c r="G235" i="1"/>
  <c r="H235" i="1" s="1"/>
  <c r="I235" i="1" s="1"/>
  <c r="G234" i="1"/>
  <c r="H234" i="1" s="1"/>
  <c r="I234" i="1" s="1"/>
  <c r="G233" i="1"/>
  <c r="H233" i="1" s="1"/>
  <c r="I233" i="1" s="1"/>
  <c r="G232" i="1"/>
  <c r="H232" i="1" s="1"/>
  <c r="I232" i="1" s="1"/>
  <c r="G231" i="1"/>
  <c r="H231" i="1" s="1"/>
  <c r="I231" i="1" s="1"/>
  <c r="G230" i="1"/>
  <c r="H230" i="1" s="1"/>
  <c r="I230" i="1" s="1"/>
  <c r="G229" i="1"/>
  <c r="H229" i="1" s="1"/>
  <c r="I229" i="1" s="1"/>
  <c r="G228" i="1"/>
  <c r="H228" i="1" s="1"/>
  <c r="I228" i="1" s="1"/>
  <c r="G227" i="1"/>
  <c r="H227" i="1" s="1"/>
  <c r="I227" i="1" s="1"/>
  <c r="G226" i="1"/>
  <c r="H226" i="1" s="1"/>
  <c r="I226" i="1" s="1"/>
  <c r="H225" i="1"/>
  <c r="I225" i="1" s="1"/>
  <c r="G217" i="1"/>
  <c r="H217" i="1" s="1"/>
  <c r="I217" i="1" s="1"/>
  <c r="G216" i="1"/>
  <c r="H216" i="1" s="1"/>
  <c r="I216" i="1" s="1"/>
  <c r="G215" i="1"/>
  <c r="H215" i="1" s="1"/>
  <c r="I215" i="1" s="1"/>
  <c r="G214" i="1"/>
  <c r="H214" i="1" s="1"/>
  <c r="I214" i="1" s="1"/>
  <c r="G213" i="1"/>
  <c r="H213" i="1" s="1"/>
  <c r="I213" i="1" s="1"/>
  <c r="G212" i="1"/>
  <c r="H212" i="1" s="1"/>
  <c r="I212" i="1" s="1"/>
  <c r="G211" i="1"/>
  <c r="H211" i="1" s="1"/>
  <c r="I211" i="1" s="1"/>
  <c r="G210" i="1"/>
  <c r="H210" i="1" s="1"/>
  <c r="I210" i="1" s="1"/>
  <c r="G209" i="1"/>
  <c r="H209" i="1" s="1"/>
  <c r="I209" i="1" s="1"/>
  <c r="G208" i="1"/>
  <c r="H208" i="1" s="1"/>
  <c r="I208" i="1" s="1"/>
  <c r="G207" i="1"/>
  <c r="H207" i="1" s="1"/>
  <c r="I207" i="1" s="1"/>
  <c r="G206" i="1"/>
  <c r="H206" i="1" s="1"/>
  <c r="I206" i="1" s="1"/>
  <c r="G205" i="1"/>
  <c r="H205" i="1" s="1"/>
  <c r="I205" i="1" s="1"/>
  <c r="H204" i="1"/>
  <c r="I204" i="1" s="1"/>
  <c r="G203" i="1"/>
  <c r="H203" i="1" s="1"/>
  <c r="I203" i="1" s="1"/>
  <c r="G202" i="1"/>
  <c r="H202" i="1" s="1"/>
  <c r="I202" i="1" s="1"/>
  <c r="G201" i="1"/>
  <c r="H201" i="1" s="1"/>
  <c r="I201" i="1" s="1"/>
  <c r="G200" i="1"/>
  <c r="H200" i="1" s="1"/>
  <c r="I200" i="1" s="1"/>
  <c r="G199" i="1"/>
  <c r="H199" i="1" s="1"/>
  <c r="I199" i="1" s="1"/>
  <c r="G198" i="1"/>
  <c r="H198" i="1" s="1"/>
  <c r="I198" i="1" s="1"/>
  <c r="G186" i="1"/>
  <c r="H186" i="1" s="1"/>
  <c r="I186" i="1" s="1"/>
  <c r="G185" i="1"/>
  <c r="H185" i="1" s="1"/>
  <c r="I185" i="1" s="1"/>
  <c r="G184" i="1"/>
  <c r="H184" i="1" s="1"/>
  <c r="I184" i="1" s="1"/>
  <c r="G183" i="1"/>
  <c r="H183" i="1" s="1"/>
  <c r="I183" i="1" s="1"/>
  <c r="G182" i="1"/>
  <c r="H182" i="1" s="1"/>
  <c r="I182" i="1" s="1"/>
  <c r="G181" i="1"/>
  <c r="H181" i="1" s="1"/>
  <c r="I181" i="1" s="1"/>
  <c r="G180" i="1"/>
  <c r="H180" i="1" s="1"/>
  <c r="I180" i="1" s="1"/>
  <c r="G179" i="1"/>
  <c r="H179" i="1" s="1"/>
  <c r="I179" i="1" s="1"/>
  <c r="G175" i="1"/>
  <c r="H175" i="1" s="1"/>
  <c r="I175" i="1" s="1"/>
  <c r="G174" i="1"/>
  <c r="H174" i="1" s="1"/>
  <c r="I174" i="1" s="1"/>
  <c r="G173" i="1"/>
  <c r="H173" i="1" s="1"/>
  <c r="I173" i="1" s="1"/>
  <c r="G172" i="1"/>
  <c r="H172" i="1" s="1"/>
  <c r="I172" i="1" s="1"/>
  <c r="G171" i="1"/>
  <c r="H171" i="1" s="1"/>
  <c r="I171" i="1" s="1"/>
  <c r="G170" i="1"/>
  <c r="H170" i="1" s="1"/>
  <c r="I170" i="1" s="1"/>
  <c r="G169" i="1"/>
  <c r="H169" i="1" s="1"/>
  <c r="I169" i="1" s="1"/>
  <c r="G168" i="1"/>
  <c r="H168" i="1" s="1"/>
  <c r="I168" i="1" s="1"/>
  <c r="G167" i="1"/>
  <c r="H167" i="1" s="1"/>
  <c r="I167" i="1" s="1"/>
  <c r="G166" i="1"/>
  <c r="H166" i="1" s="1"/>
  <c r="I166" i="1" s="1"/>
  <c r="G165" i="1"/>
  <c r="H165" i="1" s="1"/>
  <c r="I165" i="1" s="1"/>
  <c r="G164" i="1"/>
  <c r="H164" i="1" s="1"/>
  <c r="I164" i="1" s="1"/>
  <c r="H160" i="1"/>
  <c r="I160" i="1" s="1"/>
  <c r="H159" i="1"/>
  <c r="I159" i="1" s="1"/>
  <c r="H158" i="1"/>
  <c r="I158" i="1" s="1"/>
  <c r="H157" i="1"/>
  <c r="I157" i="1" s="1"/>
  <c r="H156" i="1"/>
  <c r="I156" i="1" s="1"/>
  <c r="H155" i="1"/>
  <c r="I155" i="1" s="1"/>
  <c r="H154" i="1"/>
  <c r="I154" i="1" s="1"/>
  <c r="H153" i="1"/>
  <c r="I153" i="1" s="1"/>
  <c r="H152" i="1"/>
  <c r="I152" i="1" s="1"/>
  <c r="H151" i="1"/>
  <c r="I151" i="1" s="1"/>
  <c r="H150" i="1"/>
  <c r="I150" i="1" s="1"/>
  <c r="H149" i="1"/>
  <c r="I149" i="1" s="1"/>
  <c r="H119" i="1"/>
  <c r="I119" i="1" s="1"/>
  <c r="H118" i="1"/>
  <c r="I118" i="1" s="1"/>
  <c r="H117" i="1"/>
  <c r="I117" i="1" s="1"/>
  <c r="H116" i="1"/>
  <c r="I116" i="1" s="1"/>
  <c r="H115" i="1"/>
  <c r="I115" i="1" s="1"/>
  <c r="H114" i="1"/>
  <c r="I114" i="1" s="1"/>
  <c r="H113" i="1"/>
  <c r="I113" i="1" s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H105" i="1"/>
  <c r="I105" i="1" s="1"/>
  <c r="H104" i="1"/>
  <c r="I104" i="1" s="1"/>
  <c r="H103" i="1"/>
  <c r="I103" i="1" s="1"/>
  <c r="H102" i="1"/>
  <c r="I102" i="1" s="1"/>
  <c r="H101" i="1"/>
  <c r="I101" i="1" s="1"/>
  <c r="H100" i="1"/>
  <c r="I100" i="1" s="1"/>
  <c r="H91" i="1"/>
  <c r="I91" i="1" s="1"/>
  <c r="H90" i="1"/>
  <c r="I90" i="1" s="1"/>
  <c r="H89" i="1"/>
  <c r="I89" i="1" s="1"/>
  <c r="H88" i="1"/>
  <c r="I88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80" i="1"/>
  <c r="I80" i="1" s="1"/>
  <c r="H79" i="1"/>
  <c r="I79" i="1" s="1"/>
  <c r="H78" i="1"/>
  <c r="I78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60" i="1"/>
  <c r="I60" i="1" s="1"/>
  <c r="H59" i="1"/>
  <c r="I59" i="1" s="1"/>
  <c r="H58" i="1"/>
  <c r="I58" i="1" s="1"/>
  <c r="H57" i="1"/>
  <c r="I57" i="1" s="1"/>
  <c r="H56" i="1"/>
  <c r="I56" i="1" s="1"/>
  <c r="H55" i="1"/>
  <c r="I55" i="1" s="1"/>
  <c r="H54" i="1"/>
  <c r="I54" i="1" s="1"/>
  <c r="H53" i="1"/>
  <c r="I53" i="1" s="1"/>
  <c r="H52" i="1"/>
  <c r="I52" i="1" s="1"/>
  <c r="H51" i="1"/>
  <c r="I51" i="1" s="1"/>
  <c r="H37" i="1"/>
  <c r="I37" i="1" s="1"/>
  <c r="H36" i="1"/>
  <c r="I36" i="1" s="1"/>
  <c r="H35" i="1"/>
  <c r="I35" i="1" s="1"/>
  <c r="H31" i="1"/>
  <c r="I31" i="1" s="1"/>
  <c r="H30" i="1"/>
  <c r="I30" i="1" s="1"/>
  <c r="H29" i="1"/>
  <c r="I29" i="1" s="1"/>
  <c r="H28" i="1"/>
  <c r="I28" i="1" s="1"/>
  <c r="H27" i="1"/>
  <c r="I27" i="1" s="1"/>
  <c r="H26" i="1"/>
  <c r="I26" i="1" s="1"/>
  <c r="H25" i="1"/>
  <c r="I25" i="1" s="1"/>
  <c r="H24" i="1"/>
  <c r="I24" i="1" s="1"/>
  <c r="H23" i="1"/>
  <c r="I23" i="1" s="1"/>
  <c r="I19" i="1"/>
  <c r="I18" i="1"/>
  <c r="I17" i="1"/>
  <c r="I16" i="1"/>
  <c r="I12" i="1"/>
  <c r="F12" i="1"/>
  <c r="I11" i="1"/>
  <c r="F11" i="1"/>
  <c r="I10" i="1"/>
  <c r="F10" i="1"/>
  <c r="I9" i="1"/>
  <c r="F9" i="1"/>
  <c r="D22" i="1" l="1"/>
  <c r="D32" i="1" s="1"/>
  <c r="D34" i="1" s="1"/>
  <c r="D38" i="1" s="1"/>
  <c r="D50" i="1" s="1"/>
  <c r="D61" i="1" s="1"/>
  <c r="D63" i="1" s="1"/>
  <c r="D75" i="1" s="1"/>
  <c r="D77" i="1" s="1"/>
  <c r="D92" i="1" s="1"/>
  <c r="D99" i="1" s="1"/>
  <c r="D120" i="1" s="1"/>
  <c r="D122" i="1" s="1"/>
  <c r="D135" i="1" s="1"/>
  <c r="D148" i="1" s="1"/>
  <c r="D161" i="1" s="1"/>
  <c r="D163" i="1" s="1"/>
  <c r="D176" i="1" s="1"/>
  <c r="D178" i="1" s="1"/>
  <c r="D187" i="1" s="1"/>
  <c r="D197" i="1" s="1"/>
  <c r="D218" i="1" s="1"/>
  <c r="D224" i="1" s="1"/>
  <c r="D245" i="1" s="1"/>
  <c r="D250" i="1" s="1"/>
  <c r="D274" i="1" s="1"/>
  <c r="D277" i="1" s="1"/>
  <c r="D289" i="1" s="1"/>
  <c r="D292" i="1" s="1"/>
  <c r="D375" i="1" s="1"/>
  <c r="D378" i="1" s="1"/>
  <c r="D454" i="1" s="1"/>
  <c r="D457" i="1" s="1"/>
  <c r="D474" i="1" s="1"/>
  <c r="D477" i="1" s="1"/>
  <c r="D480" i="1" s="1"/>
  <c r="H20" i="1"/>
  <c r="H22" i="1" s="1"/>
  <c r="H32" i="1" s="1"/>
  <c r="H34" i="1" s="1"/>
  <c r="H38" i="1" s="1"/>
  <c r="H50" i="1" s="1"/>
  <c r="H61" i="1" s="1"/>
  <c r="I13" i="1"/>
  <c r="I15" i="1" s="1"/>
  <c r="G20" i="1"/>
  <c r="F13" i="1"/>
  <c r="F15" i="1" s="1"/>
  <c r="F20" i="1" s="1"/>
  <c r="F22" i="1" s="1"/>
  <c r="F32" i="1" s="1"/>
  <c r="F34" i="1" s="1"/>
  <c r="F38" i="1" s="1"/>
  <c r="F50" i="1" s="1"/>
  <c r="F61" i="1" s="1"/>
  <c r="F63" i="1" s="1"/>
  <c r="F75" i="1" s="1"/>
  <c r="F77" i="1" s="1"/>
  <c r="F92" i="1" s="1"/>
  <c r="F99" i="1" s="1"/>
  <c r="F120" i="1" s="1"/>
  <c r="F122" i="1" s="1"/>
  <c r="F135" i="1" s="1"/>
  <c r="F148" i="1" s="1"/>
  <c r="F161" i="1" s="1"/>
  <c r="F163" i="1" s="1"/>
  <c r="F176" i="1" s="1"/>
  <c r="F178" i="1" s="1"/>
  <c r="F187" i="1" s="1"/>
  <c r="F197" i="1" s="1"/>
  <c r="F218" i="1" s="1"/>
  <c r="F224" i="1" s="1"/>
  <c r="F245" i="1" s="1"/>
  <c r="F250" i="1" s="1"/>
  <c r="F274" i="1" s="1"/>
  <c r="F277" i="1" s="1"/>
  <c r="F289" i="1" s="1"/>
  <c r="F292" i="1" s="1"/>
  <c r="F375" i="1" s="1"/>
  <c r="F378" i="1" s="1"/>
  <c r="F454" i="1" s="1"/>
  <c r="F457" i="1" s="1"/>
  <c r="F474" i="1" s="1"/>
  <c r="F477" i="1" s="1"/>
  <c r="F480" i="1" s="1"/>
  <c r="H63" i="1" l="1"/>
  <c r="H75" i="1" s="1"/>
  <c r="H77" i="1" s="1"/>
  <c r="G22" i="1"/>
  <c r="G32" i="1" s="1"/>
  <c r="G34" i="1" s="1"/>
  <c r="I20" i="1"/>
  <c r="I22" i="1" s="1"/>
  <c r="I32" i="1" s="1"/>
  <c r="I34" i="1" s="1"/>
  <c r="I38" i="1" s="1"/>
  <c r="I50" i="1" s="1"/>
  <c r="I61" i="1" s="1"/>
  <c r="I63" i="1" s="1"/>
  <c r="I75" i="1" s="1"/>
  <c r="I77" i="1" s="1"/>
  <c r="I92" i="1" s="1"/>
  <c r="I99" i="1" s="1"/>
  <c r="I120" i="1" s="1"/>
  <c r="I122" i="1" s="1"/>
  <c r="I135" i="1" s="1"/>
  <c r="I148" i="1" s="1"/>
  <c r="I161" i="1" s="1"/>
  <c r="I163" i="1" s="1"/>
  <c r="I176" i="1" s="1"/>
  <c r="I178" i="1" s="1"/>
  <c r="I187" i="1" s="1"/>
  <c r="I197" i="1" s="1"/>
  <c r="I218" i="1" s="1"/>
  <c r="I224" i="1" s="1"/>
  <c r="I245" i="1" s="1"/>
  <c r="I250" i="1" s="1"/>
  <c r="I274" i="1" s="1"/>
  <c r="I277" i="1" s="1"/>
  <c r="I289" i="1" s="1"/>
  <c r="I292" i="1" s="1"/>
  <c r="I375" i="1" s="1"/>
  <c r="I378" i="1" s="1"/>
  <c r="I454" i="1" s="1"/>
  <c r="I457" i="1" s="1"/>
  <c r="I474" i="1" s="1"/>
  <c r="I477" i="1" s="1"/>
  <c r="I480" i="1" s="1"/>
  <c r="H92" i="1" l="1"/>
  <c r="G38" i="1"/>
  <c r="H99" i="1" l="1"/>
  <c r="H120" i="1" s="1"/>
  <c r="H122" i="1" s="1"/>
  <c r="G50" i="1"/>
  <c r="H135" i="1" l="1"/>
  <c r="G61" i="1"/>
  <c r="H148" i="1" l="1"/>
  <c r="H161" i="1" s="1"/>
  <c r="G63" i="1"/>
  <c r="G75" i="1" s="1"/>
  <c r="G77" i="1" s="1"/>
  <c r="H163" i="1" l="1"/>
  <c r="G92" i="1"/>
  <c r="G99" i="1" s="1"/>
  <c r="G120" i="1" s="1"/>
  <c r="G122" i="1" s="1"/>
  <c r="H176" i="1" l="1"/>
  <c r="G135" i="1"/>
  <c r="H178" i="1" l="1"/>
  <c r="G148" i="1"/>
  <c r="H187" i="1" l="1"/>
  <c r="H197" i="1" s="1"/>
  <c r="H218" i="1" s="1"/>
  <c r="H224" i="1" s="1"/>
  <c r="H245" i="1" s="1"/>
  <c r="H250" i="1" s="1"/>
  <c r="H274" i="1" s="1"/>
  <c r="H277" i="1" s="1"/>
  <c r="H289" i="1" s="1"/>
  <c r="H292" i="1" s="1"/>
  <c r="H375" i="1" s="1"/>
  <c r="H378" i="1" s="1"/>
  <c r="H454" i="1" s="1"/>
  <c r="H457" i="1" s="1"/>
  <c r="H474" i="1" s="1"/>
  <c r="H477" i="1" s="1"/>
  <c r="G161" i="1"/>
  <c r="H480" i="1" l="1"/>
  <c r="G163" i="1"/>
  <c r="G176" i="1" l="1"/>
  <c r="G178" i="1" s="1"/>
  <c r="G187" i="1" l="1"/>
  <c r="G197" i="1" l="1"/>
  <c r="G218" i="1" l="1"/>
  <c r="G224" i="1" s="1"/>
  <c r="G245" i="1" l="1"/>
  <c r="G250" i="1" l="1"/>
  <c r="G274" i="1" l="1"/>
  <c r="G277" i="1" l="1"/>
  <c r="G289" i="1" l="1"/>
  <c r="G292" i="1" l="1"/>
  <c r="G375" i="1" l="1"/>
  <c r="G378" i="1" l="1"/>
  <c r="G454" i="1" l="1"/>
  <c r="G457" i="1" l="1"/>
  <c r="G474" i="1" l="1"/>
  <c r="G477" i="1" l="1"/>
  <c r="G480" i="1" s="1"/>
</calcChain>
</file>

<file path=xl/sharedStrings.xml><?xml version="1.0" encoding="utf-8"?>
<sst xmlns="http://schemas.openxmlformats.org/spreadsheetml/2006/main" count="599" uniqueCount="512">
  <si>
    <t>BEA</t>
  </si>
  <si>
    <t>DEPARTEMENT FINANCE ET COMPTABILITE</t>
  </si>
  <si>
    <t>TABLEAU D'AMORTISSEMENT AAI</t>
  </si>
  <si>
    <t>COMPTE N°: 142010  Compte Amort: 148211</t>
  </si>
  <si>
    <t>Valeur</t>
  </si>
  <si>
    <t xml:space="preserve"> AmtCumulés</t>
  </si>
  <si>
    <t>Dotation</t>
  </si>
  <si>
    <t>Montant Amt</t>
  </si>
  <si>
    <t>Valeur Net</t>
  </si>
  <si>
    <t xml:space="preserve">AGENCE </t>
  </si>
  <si>
    <t xml:space="preserve">Date </t>
  </si>
  <si>
    <t>Qté</t>
  </si>
  <si>
    <t>Désignation</t>
  </si>
  <si>
    <t>d'Acquisition MRU</t>
  </si>
  <si>
    <t>Taux</t>
  </si>
  <si>
    <t xml:space="preserve"> Fin Exr.2025</t>
  </si>
  <si>
    <t>Exer. En. C</t>
  </si>
  <si>
    <t>Fin Exercice 2026</t>
  </si>
  <si>
    <t>Comptable</t>
  </si>
  <si>
    <t>REPORT 2003</t>
  </si>
  <si>
    <t>Construction d'une chambre forte NDB</t>
  </si>
  <si>
    <t>Regl 50% Constructionchambre forte</t>
  </si>
  <si>
    <t>Regl ECTD</t>
  </si>
  <si>
    <t>S/T</t>
  </si>
  <si>
    <t>Agencement Agence Teintane</t>
  </si>
  <si>
    <t>Racordement ligne GIMTEL</t>
  </si>
  <si>
    <t>Avance Acquisition Solution Monétiqueencement Agence Teintane</t>
  </si>
  <si>
    <t>Regl 20% Facture J.Ware</t>
  </si>
  <si>
    <t>Solde au 31/12/08</t>
  </si>
  <si>
    <t>Solde au 01/01/09</t>
  </si>
  <si>
    <t>Climatiseur Split 15000 BTU 1,8 CV</t>
  </si>
  <si>
    <t>Réseau Wifi Internet</t>
  </si>
  <si>
    <t>Climatiseur Split  BTU 1,5 CV</t>
  </si>
  <si>
    <t>Tapis comptabilité</t>
  </si>
  <si>
    <t>Postes AKITA</t>
  </si>
  <si>
    <t>Régulateur 50 KVA</t>
  </si>
  <si>
    <t>Wifi Sagem 77 pour ADSL</t>
  </si>
  <si>
    <t>Climatiseur</t>
  </si>
  <si>
    <t xml:space="preserve">Climatiseurs </t>
  </si>
  <si>
    <t>Solde au 31/12/09</t>
  </si>
  <si>
    <t>Report 01/01/2010</t>
  </si>
  <si>
    <t>Régulateur de tension</t>
  </si>
  <si>
    <t>Climatiseurs RIVA 2CV</t>
  </si>
  <si>
    <t>Climatiseurs 1500 BTU</t>
  </si>
  <si>
    <t>Solde au 31/12/2010</t>
  </si>
  <si>
    <t>Report 01/01/2011</t>
  </si>
  <si>
    <t>Panneau Lumineux</t>
  </si>
  <si>
    <t>Appareil Téléphone Numérique</t>
  </si>
  <si>
    <t>Climatiseurs carrier 2 CV</t>
  </si>
  <si>
    <t>Climatiseurs Split 9000 BTU</t>
  </si>
  <si>
    <t>Disjoncteurs</t>
  </si>
  <si>
    <t>Climatiseurs 1,5 CV Carrière Garantie</t>
  </si>
  <si>
    <t>Climatiseurs Split12000 BTU</t>
  </si>
  <si>
    <t>Climatiseurs Split mural 12000 BTU</t>
  </si>
  <si>
    <t>Climatiseurs Split Samsung 2CV F°253/2011</t>
  </si>
  <si>
    <t>Climatiseurs Samsung 12000 BTU</t>
  </si>
  <si>
    <t>Solde au 31/12/2011</t>
  </si>
  <si>
    <t>Report 01/01/2012</t>
  </si>
  <si>
    <t>Climatiseur Split Sumsung</t>
  </si>
  <si>
    <t>Caméra et Vidéos de surveillances</t>
  </si>
  <si>
    <t>Caméra Extérieur</t>
  </si>
  <si>
    <t>Climatiseurs Sumsung 2 Chevaux</t>
  </si>
  <si>
    <t>Extincteurs</t>
  </si>
  <si>
    <t>Cable Fibre obtique</t>
  </si>
  <si>
    <t>Group El 110 KVA</t>
  </si>
  <si>
    <t xml:space="preserve">Climatiseur Split </t>
  </si>
  <si>
    <t>Climatiseur Samsung</t>
  </si>
  <si>
    <t>Postes téléphones</t>
  </si>
  <si>
    <t>Solde au 31/12/2012</t>
  </si>
  <si>
    <t>Report 01/01/2013</t>
  </si>
  <si>
    <t>Guichet automatique bancaire Procash 2050 XE</t>
  </si>
  <si>
    <t xml:space="preserve">Climatiseur Split 18000 </t>
  </si>
  <si>
    <t>Climatiseur 1,5 CV 12 000 BTI Samsung</t>
  </si>
  <si>
    <t xml:space="preserve">Installation et Configuration d'une connexion </t>
  </si>
  <si>
    <t>IR Caméra haute résolution</t>
  </si>
  <si>
    <t>Climatiseur Split 18001</t>
  </si>
  <si>
    <t>Groupe électrogène 15 KVA perkins</t>
  </si>
  <si>
    <t>Bras hydraulique</t>
  </si>
  <si>
    <t>Installation rideaux</t>
  </si>
  <si>
    <t>Solde au 31/12/2013</t>
  </si>
  <si>
    <t>Report 01/01/2014</t>
  </si>
  <si>
    <t>Installation douche</t>
  </si>
  <si>
    <t>Installation caméras</t>
  </si>
  <si>
    <t>Climatiseurs  2 CV /RIV</t>
  </si>
  <si>
    <t>Climatiseurs  2 CV split</t>
  </si>
  <si>
    <t>Climatiseurs  split mural 18 000 BTU</t>
  </si>
  <si>
    <t>Clôture Deux mures NDB</t>
  </si>
  <si>
    <t>Climatiseur Airewell 18 000 btu</t>
  </si>
  <si>
    <t>Climatiseur Split 18 btu</t>
  </si>
  <si>
    <t>Stabilisateur 20 KVA</t>
  </si>
  <si>
    <t>Climatiseur Air well 18000 btu</t>
  </si>
  <si>
    <t>Climatiseurs  mural Airwell  12 000 BTU</t>
  </si>
  <si>
    <t>Climatiseurs  split  18 000 BTU</t>
  </si>
  <si>
    <t>Materiels éléctrique Modulaires</t>
  </si>
  <si>
    <t>Ventilateurs</t>
  </si>
  <si>
    <t xml:space="preserve">30 mettre carré de vitre européens </t>
  </si>
  <si>
    <t>Climatiseurs Split 24000+18000+1200 btu</t>
  </si>
  <si>
    <t>Fabrication Etagères</t>
  </si>
  <si>
    <t>Solde au 31/12/2014</t>
  </si>
  <si>
    <t>Report 31/12/2014</t>
  </si>
  <si>
    <t>Panneaux aluminium (Groupe electrogene)</t>
  </si>
  <si>
    <t>Porte aluminium(Groupe electrogene)</t>
  </si>
  <si>
    <t>Climatiseur Air well 12000 BTU</t>
  </si>
  <si>
    <t>Climatiseurs Samsung  split 18000 BTU</t>
  </si>
  <si>
    <t>Climatiseur Air well 18000 BTU</t>
  </si>
  <si>
    <t>2 Climatiseur Split 18 btu+ 4 clim airwell</t>
  </si>
  <si>
    <t>Installation Mur protection groupe electrogene</t>
  </si>
  <si>
    <t>Solde au 31/12/2015</t>
  </si>
  <si>
    <t>Report 31/12/2015</t>
  </si>
  <si>
    <t>Etagères en fer type carré de 30 tolle 10/10</t>
  </si>
  <si>
    <t>Pompe 7,5 W + Injection + Cables</t>
  </si>
  <si>
    <t>Partie Hydraulique 7,5 KW</t>
  </si>
  <si>
    <t>Panneaux limineux + accessoires</t>
  </si>
  <si>
    <t>Climatiseurs   split 18000 BTU</t>
  </si>
  <si>
    <t>Climatiseur 1,5 CV</t>
  </si>
  <si>
    <t>Etagères 1m.20/ 2m</t>
  </si>
  <si>
    <t>Climatiseurs Airewell (18 000+ 12000) btu</t>
  </si>
  <si>
    <t xml:space="preserve"> Climatiseur EMG( 18 btu+12 btu)</t>
  </si>
  <si>
    <t xml:space="preserve"> Climatiseur LG Split 12000 btu</t>
  </si>
  <si>
    <t>Camera IP PTZ 2 MP + DVR + Accessoitres</t>
  </si>
  <si>
    <t>Climatiseur Air well 12000 cv + Beko 18 cv</t>
  </si>
  <si>
    <t>Solde au 31/12/2016</t>
  </si>
  <si>
    <t>Report 31/12/2016</t>
  </si>
  <si>
    <t>Guichets automatiques</t>
  </si>
  <si>
    <t>Lavabo Dama N+ Mitigeur Targa</t>
  </si>
  <si>
    <t>Onduleur APC SMART-UPS 3000 VA</t>
  </si>
  <si>
    <t>Climatiseurs   1,5 CV EMG</t>
  </si>
  <si>
    <t>Installation Electricité</t>
  </si>
  <si>
    <t>Installation Materiel Electricité</t>
  </si>
  <si>
    <t xml:space="preserve">Disjincteur Compacte 250 AP </t>
  </si>
  <si>
    <t>Climatiseur Splits 12 000 BTU</t>
  </si>
  <si>
    <t>Porte sécrurité</t>
  </si>
  <si>
    <t>Solde au 31/12/2017</t>
  </si>
  <si>
    <t>Report 31/12/2017</t>
  </si>
  <si>
    <t>Fabrication Châssis en Aluminium</t>
  </si>
  <si>
    <t>Châssis fixe en Alu Asiatique de 3m65x 2m</t>
  </si>
  <si>
    <t>Slabilisateur 20 KVA/380 V</t>
  </si>
  <si>
    <t xml:space="preserve"> 2 Climatiseur EMG 12000 btu + 1 Aiwail 12 000 BTU</t>
  </si>
  <si>
    <t>Fax Panasonic 701</t>
  </si>
  <si>
    <t>GAB SS 27</t>
  </si>
  <si>
    <t>Poste Standard Panasonic K7737</t>
  </si>
  <si>
    <t>Solde au 31/12/2018</t>
  </si>
  <si>
    <t>Report 31/12/2018</t>
  </si>
  <si>
    <t xml:space="preserve">Porte blindée </t>
  </si>
  <si>
    <t>Etagères en fer tube carré 30 noir tol 10</t>
  </si>
  <si>
    <t>Porte Aluminum Guichet</t>
  </si>
  <si>
    <t>Caméra Intene XENYUM</t>
  </si>
  <si>
    <t>Caméra Intene HD</t>
  </si>
  <si>
    <t>GAB SefServ27(S2)</t>
  </si>
  <si>
    <t>Stablisateur 5 kva</t>
  </si>
  <si>
    <t>Climatiseur console 18 000 btu</t>
  </si>
  <si>
    <t>Coffret d'Alimentation 12V/9A</t>
  </si>
  <si>
    <t>GAB Multifonction Diebold Nixdorf CS 2560</t>
  </si>
  <si>
    <t>Porte grille de sécurité</t>
  </si>
  <si>
    <t>Climatiseurs Air well+ EMG</t>
  </si>
  <si>
    <t>Climatiseurs  West pool</t>
  </si>
  <si>
    <t>Bouteilles Incendies</t>
  </si>
  <si>
    <t>Climatiseurs LG 12 000 BTU</t>
  </si>
  <si>
    <t>Installation de GAB</t>
  </si>
  <si>
    <t>Climatiseurs  West pool 2 Chevaux</t>
  </si>
  <si>
    <t>Climatiseurs  Air WELL 24 000 BTU + Cuisinière</t>
  </si>
  <si>
    <t>Climatiseurs  Air WELL + Climatiseur Beko  12000 btu</t>
  </si>
  <si>
    <t>Solde au 31/12/2019</t>
  </si>
  <si>
    <t>01/01/20120</t>
  </si>
  <si>
    <t>Report 31/12/2019</t>
  </si>
  <si>
    <t xml:space="preserve">GAB Multifonction génération Outdoor Dielbold </t>
  </si>
  <si>
    <t>Ecotellier Lobby ATM toutes option</t>
  </si>
  <si>
    <t>Installation de Groupe éléctrogènes</t>
  </si>
  <si>
    <t>Stabilisateur  30KVA0380 V</t>
  </si>
  <si>
    <t xml:space="preserve">Disjoncteur </t>
  </si>
  <si>
    <t>Groupe Electrogènes 15 KVA</t>
  </si>
  <si>
    <t>Capteuse trieuse de billets SC820</t>
  </si>
  <si>
    <t>Onduleur</t>
  </si>
  <si>
    <t>Climatiseur Split 18000 btu</t>
  </si>
  <si>
    <t>Installation PBE - 5 AC 400</t>
  </si>
  <si>
    <t>Climatiseurs Air  1,5 Chevaux</t>
  </si>
  <si>
    <t>Onduleur APC 650 VA</t>
  </si>
  <si>
    <t>Ecran téléviseur surveillance</t>
  </si>
  <si>
    <t>Climatieur Star Sat 18 000 BTU</t>
  </si>
  <si>
    <t>Extincteurs 6 KGS abc</t>
  </si>
  <si>
    <t>Climatiseurs ( 18000 btu +12000  btu</t>
  </si>
  <si>
    <t>Reliquat menuiserie moderne</t>
  </si>
  <si>
    <t>Ets moulaye Ghadour</t>
  </si>
  <si>
    <t>Solde au 31/12/2020</t>
  </si>
  <si>
    <t>01/01/20121</t>
  </si>
  <si>
    <t>Report 31/12/2020</t>
  </si>
  <si>
    <t>Camera haute resolution  + Accessoitres</t>
  </si>
  <si>
    <t>Camera IP 4 MP  + Accessoitres</t>
  </si>
  <si>
    <t>Porte aluminium</t>
  </si>
  <si>
    <t>GAB</t>
  </si>
  <si>
    <t>Compteuse de liasse avec cavalier TC 5500H</t>
  </si>
  <si>
    <t>Camera  + Accessoitres</t>
  </si>
  <si>
    <t>Construction mur</t>
  </si>
  <si>
    <t>Camera  + Accessoitres reliquat</t>
  </si>
  <si>
    <t>Boite alimentation camera de surveillance</t>
  </si>
  <si>
    <t>Instincteurs</t>
  </si>
  <si>
    <t>Climatiseurs split beko+gree+EMG+airwell</t>
  </si>
  <si>
    <t>Solde au 31/12/2021</t>
  </si>
  <si>
    <t>Report de solde 31/12/2021</t>
  </si>
  <si>
    <t>climatiseurs Airwell 18000BTV</t>
  </si>
  <si>
    <t>cabine de guichet automatique</t>
  </si>
  <si>
    <t xml:space="preserve"> Gab infolog9260</t>
  </si>
  <si>
    <t>Aménagement noueau siège</t>
  </si>
  <si>
    <t>Chariot 4 roues+cônes de securité 75 cm</t>
  </si>
  <si>
    <t>Travaux anciens siège</t>
  </si>
  <si>
    <t>démolition anien bureau</t>
  </si>
  <si>
    <t>Achat de 34 kit de surveillances</t>
  </si>
  <si>
    <t xml:space="preserve">Grille de protection </t>
  </si>
  <si>
    <t>Fact TCI lot clim fact n°2873</t>
  </si>
  <si>
    <t>Solde au 31/12/2022</t>
  </si>
  <si>
    <t>Report de solde 31/12/2022</t>
  </si>
  <si>
    <t>09/01/23</t>
  </si>
  <si>
    <t>RGLT FACT TCI N° 2867 B/22 EUR</t>
  </si>
  <si>
    <t>18/01/23</t>
  </si>
  <si>
    <t>RGT FACTURE ATLANTIC N°003/23</t>
  </si>
  <si>
    <t>RGLT DEVIS NOUAKCHOTT INARA N°</t>
  </si>
  <si>
    <t>24/02/23</t>
  </si>
  <si>
    <t>RGLT FACT ZEINART CONCEPT</t>
  </si>
  <si>
    <t>03/03/23</t>
  </si>
  <si>
    <t>RGT FACTURE BRICO-NET-SERVICES</t>
  </si>
  <si>
    <t>04/05/23</t>
  </si>
  <si>
    <t>RGLT FACTURE ORGINAL</t>
  </si>
  <si>
    <t>08/06/23</t>
  </si>
  <si>
    <t>RGLT FACT SPS SERVICES N°23SPS</t>
  </si>
  <si>
    <t>12/06/23</t>
  </si>
  <si>
    <t>REGUL ECRITURE REF 6824454</t>
  </si>
  <si>
    <t>10/07/23</t>
  </si>
  <si>
    <t>RGLT FACT TRAVAUX DE RÉPARATIO</t>
  </si>
  <si>
    <t>12/07/23</t>
  </si>
  <si>
    <t>RGLT RELIQ FACT A2A N° 12276 D</t>
  </si>
  <si>
    <t>RGLT FACT ATELIER EL EMEL POUR</t>
  </si>
  <si>
    <t>18/07/23</t>
  </si>
  <si>
    <t>RGLT DEVIS MSE N°020-2023 DU 1</t>
  </si>
  <si>
    <t>14/08/23</t>
  </si>
  <si>
    <t>RGLT FACTURE ETS TUNIGUI N° FA</t>
  </si>
  <si>
    <t>13/09/23</t>
  </si>
  <si>
    <t>RGLT FACTURE SMCG DU 11/09/202</t>
  </si>
  <si>
    <t>06/10/23</t>
  </si>
  <si>
    <t>RGLT DEVIS ETS MOULAYE GHADOUR</t>
  </si>
  <si>
    <t>10/10/23</t>
  </si>
  <si>
    <t>RGLT DEVIS BESIPS N° 05102023-</t>
  </si>
  <si>
    <t>16/10/23</t>
  </si>
  <si>
    <t>RGLT 50% S/ MIGRATION GAB NCR</t>
  </si>
  <si>
    <t>RGLT FACT. SMAGEC N° 1080 DU 1</t>
  </si>
  <si>
    <t>26/10/23</t>
  </si>
  <si>
    <t>RGLT FACT ETS MOULAYE GHADOUR</t>
  </si>
  <si>
    <t>40% FACT ETS TUNIGUI N°FA/018/</t>
  </si>
  <si>
    <t>06/11/23</t>
  </si>
  <si>
    <t>RGLT FACTURE EL HOUSSEIN B37 N</t>
  </si>
  <si>
    <t>08/11/23</t>
  </si>
  <si>
    <t>RGLT FACTURE QUINCAILLERIE AZI</t>
  </si>
  <si>
    <t>COUPE CIRCUIT+DISJONCTEUR+CD</t>
  </si>
  <si>
    <t>09/11/23</t>
  </si>
  <si>
    <t>RGLT FACTURE INFOLOG DU 06/11/</t>
  </si>
  <si>
    <t>RGLT FACTURE INFOLOG DU 26/09/</t>
  </si>
  <si>
    <t>13/11/23</t>
  </si>
  <si>
    <t>RGLT FACTURE ETS MOULAYE GHADO</t>
  </si>
  <si>
    <t>15/11/23</t>
  </si>
  <si>
    <t>RGLT DEVIS NLH CONCEPTS N° 262</t>
  </si>
  <si>
    <t>10/01/23</t>
  </si>
  <si>
    <t>RGLT 70% FACTURE CONCEPTA N°20</t>
  </si>
  <si>
    <t>17/01/23</t>
  </si>
  <si>
    <t>RGLT PARTIEL FACT SOLUTECH FOU</t>
  </si>
  <si>
    <t>27/01/23</t>
  </si>
  <si>
    <t>50% FACT ETS ELVETH SVT DEVIS</t>
  </si>
  <si>
    <t>08/02/23</t>
  </si>
  <si>
    <t>RGLT RELIQ. FACT. ETS EL VETH</t>
  </si>
  <si>
    <t>20/02/23</t>
  </si>
  <si>
    <t>RGLT 30% AMENAGEMENT AMANTY ND</t>
  </si>
  <si>
    <t>23/03/23</t>
  </si>
  <si>
    <t>RGLT FACTURE BRICO-NET SERVICE</t>
  </si>
  <si>
    <t>12/04/23</t>
  </si>
  <si>
    <t>RGLT RELIQUAT FACT CONCEPTS N°</t>
  </si>
  <si>
    <t>RGLT 50% FACT CONCEPTS N°216-C</t>
  </si>
  <si>
    <t>RGLT 60% FACT CONCEPTA N°218-C</t>
  </si>
  <si>
    <t>RGLT FAV CHINGUITTY ALUMINIUM</t>
  </si>
  <si>
    <t>17/04/23</t>
  </si>
  <si>
    <t>FRAIS INSTALLATION SOMELEC PDV</t>
  </si>
  <si>
    <t>19/04/23</t>
  </si>
  <si>
    <t>RGLT FACTURE GIE TOUBA ALMINIU</t>
  </si>
  <si>
    <t>20/04/23</t>
  </si>
  <si>
    <t>RGLT FACTURE ETS FREKEY N°18/2</t>
  </si>
  <si>
    <t>28/04/23</t>
  </si>
  <si>
    <t>RGLT RELIQ. FACTURE CONCEPTS N</t>
  </si>
  <si>
    <t>11/05/23</t>
  </si>
  <si>
    <t>RGLT RELIQ.FACTURE BRICO-NET</t>
  </si>
  <si>
    <t>15/05/23</t>
  </si>
  <si>
    <t>RGLT FACT .SIMBA VIA AMANTY 33</t>
  </si>
  <si>
    <t>17/05/23</t>
  </si>
  <si>
    <t>RGLT 2EME TRANCHE SOIT 40% FAC</t>
  </si>
  <si>
    <t>18/05/23</t>
  </si>
  <si>
    <t>RGLT VIA AMANTY 002002 ETS ZER</t>
  </si>
  <si>
    <t>RGLT FACTURE NHL CONCEPTS N°22</t>
  </si>
  <si>
    <t>RGLT FACTURE ETS ZERROUGH034-2</t>
  </si>
  <si>
    <t>22/05/23</t>
  </si>
  <si>
    <t>RGLT VIA 36 04 50 53 FACT EL H</t>
  </si>
  <si>
    <t>RGLT VIA 36045053 FACT EL HOUS</t>
  </si>
  <si>
    <t>23/05/23</t>
  </si>
  <si>
    <t>RGLT VIA 081001  FACT.IMAN ND</t>
  </si>
  <si>
    <t>07/06/23</t>
  </si>
  <si>
    <t>RGLT DEVIS QUINC .AZIZA VIA 36</t>
  </si>
  <si>
    <t>07/07/23</t>
  </si>
  <si>
    <t>RGLT FACTURE SOLUTECH N° 015/2</t>
  </si>
  <si>
    <t>RGLT FACTURE SOLUTECH N°028/20</t>
  </si>
  <si>
    <t>11/07/23</t>
  </si>
  <si>
    <t>RGLT 2 EME TRANCHE  FACTURE A2</t>
  </si>
  <si>
    <t>RGLT 3 EME TRANCHE  FACTURE A2</t>
  </si>
  <si>
    <t>20/07/23</t>
  </si>
  <si>
    <t>RGLT DEVIS  MSE N°021-2023 DU</t>
  </si>
  <si>
    <t>21/08/23</t>
  </si>
  <si>
    <t>RGLT VIA AMANTY 33000503 FACTU</t>
  </si>
  <si>
    <t>23/08/23</t>
  </si>
  <si>
    <t>AMENAGT PART 36171085 AMANTY A</t>
  </si>
  <si>
    <t>24/08/23</t>
  </si>
  <si>
    <t>ACHAT 5 CLIMATEURS SVT DEVIS E</t>
  </si>
  <si>
    <t>29/08/23</t>
  </si>
  <si>
    <t>RGLT FACTURE WEST POOL  NDB VI</t>
  </si>
  <si>
    <t>RGLT FACT EMEL SARL D' ACOMPTE</t>
  </si>
  <si>
    <t>31/08/23</t>
  </si>
  <si>
    <t>RGLT DEVIS RIM EVENT N°106/23</t>
  </si>
  <si>
    <t>11/09/23</t>
  </si>
  <si>
    <t>RGLT FACTURE MSE N° 079-2023 D</t>
  </si>
  <si>
    <t>29/09/23</t>
  </si>
  <si>
    <t>RGLT DIVERS FACTURE AMANTY POU</t>
  </si>
  <si>
    <t>11/10/23</t>
  </si>
  <si>
    <t>RGLT FACTURE RM N° 112/23/RIM</t>
  </si>
  <si>
    <t>01/11/23</t>
  </si>
  <si>
    <t>RGLT FACTURE ETS TUNIGUI N°FA/</t>
  </si>
  <si>
    <t>RGLT FACTURE RIM EVENT N°149/2</t>
  </si>
  <si>
    <t>RGLT FAV SOMAP</t>
  </si>
  <si>
    <t>03/11/23</t>
  </si>
  <si>
    <t>RGLT FACTURE ETS-CORMILLOT N°</t>
  </si>
  <si>
    <t>16/11/23</t>
  </si>
  <si>
    <t>RGLT 30% MONTANT 96530 DEVIS E</t>
  </si>
  <si>
    <t>04/12/23</t>
  </si>
  <si>
    <t>RGLT 50% FACTURE RIM EVENT N°1</t>
  </si>
  <si>
    <t>RGLT FACTURE RIM EVENT N°167/2</t>
  </si>
  <si>
    <t>08/12/23</t>
  </si>
  <si>
    <t>RGLT FACTURE EMEL SARL N°N117/</t>
  </si>
  <si>
    <t>29/11/23</t>
  </si>
  <si>
    <t>RGLT20% MONTANT 3496150MRU FAC</t>
  </si>
  <si>
    <t>RIM event 175/23</t>
  </si>
  <si>
    <t>Emel-SARL .97-23</t>
  </si>
  <si>
    <t>facture IDCOM</t>
  </si>
  <si>
    <t>MSE 33/23</t>
  </si>
  <si>
    <t>Solde au 31/12/2023</t>
  </si>
  <si>
    <t>Solde au 01/01/2024</t>
  </si>
  <si>
    <t>04/01/24</t>
  </si>
  <si>
    <t>RGLT FACTURE EMEL SARL N°N127/2023 DU 27/12/2023 P</t>
  </si>
  <si>
    <t>09/01/24</t>
  </si>
  <si>
    <t>RGT 20% DE MONTANT GLOBAL DU CONTRAT FACT ECCE 005</t>
  </si>
  <si>
    <t>15/01/24</t>
  </si>
  <si>
    <t>RGLT 4EME TRANCHE SOIT 10% FACTURE N°FA/010/2023 D</t>
  </si>
  <si>
    <t>19/01/24</t>
  </si>
  <si>
    <t>RGLT FACT ETS TUNIGUI N° FA/03/2024 TRAVAUX AG ROS</t>
  </si>
  <si>
    <t>RGLT FACT ETS TUNIGUI N° FA/04/2024 TRAVAUX AG KIF</t>
  </si>
  <si>
    <t>RGLT FACT ETS TUNIGUI N° FA/05/2024 TRAVAUX AG CHA</t>
  </si>
  <si>
    <t>22/01/24</t>
  </si>
  <si>
    <t>RGLT FACTURE VISIOPLUS N° 0026-0/2023</t>
  </si>
  <si>
    <t>12/02/24</t>
  </si>
  <si>
    <t>RGLT FACT QUINCAILLERIE AZIZE N° 04850</t>
  </si>
  <si>
    <t>21/02/24</t>
  </si>
  <si>
    <t>RGLT DEVIS QUINCAILLERIE RIVIERA N° 26 DU 08/02/20</t>
  </si>
  <si>
    <t>05/03/24</t>
  </si>
  <si>
    <t>RGLT FACTURE SMAGEC SARL N° 04243</t>
  </si>
  <si>
    <t>21/03/24</t>
  </si>
  <si>
    <t>RGLT DEVIS BESIPSN°11032024-369 PAR AMANTY N° TEL</t>
  </si>
  <si>
    <t>17/04/24</t>
  </si>
  <si>
    <t>RGLT FACTURE ECCE N° 007/24 DU 04/04/2024</t>
  </si>
  <si>
    <t>07/05/24</t>
  </si>
  <si>
    <t>RGLT FACT S.S.T.M N° 05/02-24</t>
  </si>
  <si>
    <t>08/05/24</t>
  </si>
  <si>
    <t>RGLT DEVIS SOLUTECH N° 20240327V2 DU 13/03/2024</t>
  </si>
  <si>
    <t>13/05/24</t>
  </si>
  <si>
    <t>RELIQUAT FACTURE RIM EVENT MARKETING N° 90/24/RIM</t>
  </si>
  <si>
    <t>20/05/24</t>
  </si>
  <si>
    <t>RGLT FACT G-ITSS N° 2024-BEA-002</t>
  </si>
  <si>
    <t>22/05/24</t>
  </si>
  <si>
    <t>RGLT FACT SGMI N° 15/2024</t>
  </si>
  <si>
    <t>27/05/24</t>
  </si>
  <si>
    <t>RGLT FRAIS ACHAT COUVERTS POUR LES CUISINES DES AG</t>
  </si>
  <si>
    <t>RGLT FACTURE AG NDB</t>
  </si>
  <si>
    <t>31/05/24</t>
  </si>
  <si>
    <t>RGLT DEVIS ETS TUNIGUI N° D/0029/2024</t>
  </si>
  <si>
    <t>12/06/24</t>
  </si>
  <si>
    <t>RGLT DEVIS TOUR VITRE ET ALUMINIUM N° 0000202 AG R</t>
  </si>
  <si>
    <t>02/07/24</t>
  </si>
  <si>
    <t>RGLT FACT QUINCAILLERIE DU SAHARA 459/24</t>
  </si>
  <si>
    <t>18/07/24</t>
  </si>
  <si>
    <t>RGLT 50%FACTURE ECCE N0 009/24 DU 17/07/2024 (TRAV</t>
  </si>
  <si>
    <t>RGLT FACT BRICO NET SERVICE N° 220-NDB-2024</t>
  </si>
  <si>
    <t>08/08/24</t>
  </si>
  <si>
    <t>RGLT FACT CALLIGRAPHE ISSA DESIGN N° 600/2024</t>
  </si>
  <si>
    <t>12/08/24</t>
  </si>
  <si>
    <t>RGLT FACT BESIPS N°05082024-533 PAR AMANTY N° TEL</t>
  </si>
  <si>
    <t>18/09/24</t>
  </si>
  <si>
    <t>RGLT FACT ETS TUNIGUI N° FA/48/2024</t>
  </si>
  <si>
    <t>REGULARISATION ECRITURE REF 7272455</t>
  </si>
  <si>
    <t>07/10/24</t>
  </si>
  <si>
    <t>RGLT FACT GREENLAND N° FACT-09-2024-1024</t>
  </si>
  <si>
    <t>RGLT FACT GREENLAND N° FACT-09-2024-1028</t>
  </si>
  <si>
    <t>10/10/24</t>
  </si>
  <si>
    <t>RELIQUAT FACTURE ECCE N° 009/24 DU 17/07/2024 (TRA</t>
  </si>
  <si>
    <t>RGLT FACTURE ECCE N° 010/24 DU 19/08/2024 (TRAV.SU</t>
  </si>
  <si>
    <t>RGLT FACT ETS TUNIGUI N° FA/49/2024</t>
  </si>
  <si>
    <t>RGLT FACT ETS TUNIGUI N° FA/050/2024</t>
  </si>
  <si>
    <t>28/10/24</t>
  </si>
  <si>
    <t>RGLT FACTURE ETS KARIM FACT-10-2024-1807</t>
  </si>
  <si>
    <t>12/11/24</t>
  </si>
  <si>
    <t>RGLT FACTURE SOLUTECH N* 0129/2024 DU 11/07/2024</t>
  </si>
  <si>
    <t>13/11/24</t>
  </si>
  <si>
    <t>RGLT FACTURE N*468/2024 25/10/2024 PLAQUE EN PLEXI</t>
  </si>
  <si>
    <t>02/12/24</t>
  </si>
  <si>
    <t>RGLT FACT BRESCO N° 00213/2024</t>
  </si>
  <si>
    <t>10/12/24</t>
  </si>
  <si>
    <t>RGLT FACT BESIPS N° 0312024-522 DU 03/12/2024</t>
  </si>
  <si>
    <t>18/12/24</t>
  </si>
  <si>
    <t>CONCEPTS / FA N°324/24 AMENAGEMENT SIEGE AMANTY/ AV 60%</t>
  </si>
  <si>
    <t>RGLT FACT QUINCAILLERIE RIVIERA N° 270 DU 04/12/20</t>
  </si>
  <si>
    <t>24/12/24</t>
  </si>
  <si>
    <t>RGLT FACT BEIT*TECH N° 2450036</t>
  </si>
  <si>
    <t>RGLT FACTURE MSE N°36/23 DU 26/12/2023 (200 NOKIA)</t>
  </si>
  <si>
    <t>RGLT 50% FACTURE RIM EVENTS N°198/23/RIM EVENT DU</t>
  </si>
  <si>
    <t>16/01/24</t>
  </si>
  <si>
    <t>RGLT  50% FACTURE RIM EVENTS N°177/23/RIM EVENTS D</t>
  </si>
  <si>
    <t>RGLT 70% RELIQUAT MONTANT 96530 FACT ETS TUNIGUI N</t>
  </si>
  <si>
    <t>06/02/24</t>
  </si>
  <si>
    <t>RGLT FACTURE SOLUTECH N° 0017/2024 DU 31/01/2024</t>
  </si>
  <si>
    <t>RELIQUAT FACTURE RIM EVENTS N°198/23/RIM EVENT DU</t>
  </si>
  <si>
    <t>16/02/24</t>
  </si>
  <si>
    <t>RGLT DEVIS MSE N°002/24 DU 13/02/2024 300 NOKIA</t>
  </si>
  <si>
    <t>RGLT FACTURE RIM EVENTS N°87/24/RIM EVENT DU 02/02</t>
  </si>
  <si>
    <t>23/02/24</t>
  </si>
  <si>
    <t>RGLT 50%FACT EMEL N°017-27 DU 19/02/2024</t>
  </si>
  <si>
    <t>04/03/24</t>
  </si>
  <si>
    <t>RELIQUAT FACTURE RIM EVEBT MARKETING N° 87/24/RIM</t>
  </si>
  <si>
    <t>05/04/24</t>
  </si>
  <si>
    <t>RGLT 50% FAVT RIM EVENT MARKETING N° 90/24/RIM EVE</t>
  </si>
  <si>
    <t>RGLT RELIQ  FACT EMEL(INTERCOM MIE SA) N°17-24</t>
  </si>
  <si>
    <t>15/05/24</t>
  </si>
  <si>
    <t>RGLT FACT IMAN AG PDV AMANTY NDB</t>
  </si>
  <si>
    <t>RGLT 50% FACT RIM EVENT MARKETING N° 92/24/RIM EVE</t>
  </si>
  <si>
    <t>07/06/24</t>
  </si>
  <si>
    <t>RGLT FACT ETS TUNIGUI N° FA/0016/2024</t>
  </si>
  <si>
    <t>20/06/24</t>
  </si>
  <si>
    <t>RGLT FACT ISSA DESIGN DU 06/05/2024</t>
  </si>
  <si>
    <t>03/07/24</t>
  </si>
  <si>
    <t>RELIQUAT FACT RIM EVENT MARKETING N° 92/24/RIM EVE</t>
  </si>
  <si>
    <t>RGLT FACTURE COMMERCE GENERALE ET VENTE MATRIEL FR</t>
  </si>
  <si>
    <t>RGLT FACTURE MENUISERIE N° 015/2024</t>
  </si>
  <si>
    <t>19/07/24</t>
  </si>
  <si>
    <t>RGLT RELIQUAT ECCE SOIT 50% FACT N0 008/24 DU 0306</t>
  </si>
  <si>
    <t>22/07/24</t>
  </si>
  <si>
    <t>RGLT FACT ETS TUNIGUI N° FA/45/2024</t>
  </si>
  <si>
    <t>30/07/24</t>
  </si>
  <si>
    <t>RGLT RELIQUAT FACT RIM EVENT MARKETING N° 91/24/RI</t>
  </si>
  <si>
    <t>21/08/24</t>
  </si>
  <si>
    <t>RGLT FACT AG NDB</t>
  </si>
  <si>
    <t>19/09/24</t>
  </si>
  <si>
    <t>RGLT FACT RIM EVENT MARKETING N° 91/24/RIM EVENT</t>
  </si>
  <si>
    <t>31/10/24</t>
  </si>
  <si>
    <t>RGLT  50% FACTURE INTERCOM SVT DEVIS NN-307/24</t>
  </si>
  <si>
    <t>18/11/24</t>
  </si>
  <si>
    <t>RGLT FACT EMSE N° 23/24 DU 13/11/2024</t>
  </si>
  <si>
    <t>19/11/24</t>
  </si>
  <si>
    <t>RGLT FACT EMSA JENERATOR N° 1019</t>
  </si>
  <si>
    <t>RGLT FACT EMSA JENERATOR N° 1018</t>
  </si>
  <si>
    <t>05/12/24</t>
  </si>
  <si>
    <t>RGLT FACT ETS TUNIGUI N° FA/053/2024</t>
  </si>
  <si>
    <t>REGLRGLT FACT ETS TUNIGUI N° FA/48/2024</t>
  </si>
  <si>
    <t>09/12/24</t>
  </si>
  <si>
    <t>INTERCOM/ FA N°199/24 RELIQUAT 50% INSTALL KIOSQUE</t>
  </si>
  <si>
    <t>11/12/24</t>
  </si>
  <si>
    <t>RGLT 50% FACT RIM EVENTS MARKETING N° 001/24</t>
  </si>
  <si>
    <t>Solde au 31/12/2024</t>
  </si>
  <si>
    <t>Solde au 01/01/2025</t>
  </si>
  <si>
    <t>14/02/2025</t>
  </si>
  <si>
    <t>RGLT 50% FACT ETS TUNIGUI N° FA/010/2025</t>
  </si>
  <si>
    <t>28/02/2025</t>
  </si>
  <si>
    <t>RGLT 30% FACT ETS TUNIGUI N° FA/09/2025 GLOBAL MRU 2037178</t>
  </si>
  <si>
    <t>06/03/2025</t>
  </si>
  <si>
    <t>ETS TUNIGUI / FA N°012/25 RELIQUAT TRAVAUX D'AMANAGEMENT AG ARAFT</t>
  </si>
  <si>
    <t>21/04/2025</t>
  </si>
  <si>
    <t>RGLT 30% FACT ETS TUNIGUI N° FA/18/2025</t>
  </si>
  <si>
    <t>03/06/2025</t>
  </si>
  <si>
    <t>RGLT 30% FACT ETS TUNIGUI N° FA/20/2025 GLOBAL MRU 2037178</t>
  </si>
  <si>
    <t>RGLT FACT TEYEB P.S N° 0008/BEA/2025</t>
  </si>
  <si>
    <t>10/01/2025</t>
  </si>
  <si>
    <t>RIM EVENT MARKETING / INSTALLATION DRAPEAU MURAL / AG NKTT-NDB</t>
  </si>
  <si>
    <t>RELIQUAT  FACT ETS TUNIGUI N° FA/17/2025</t>
  </si>
  <si>
    <t>RGLT FACT TEYEB P.S N° 0006/BEA/2025</t>
  </si>
  <si>
    <t>22/05/2025</t>
  </si>
  <si>
    <t>RGLT 20% FACTURE CONCEPTS N° 329-CPS-2025</t>
  </si>
  <si>
    <t>03/07/2025</t>
  </si>
  <si>
    <t>RGLT FAC ECCE N° 100M-BEA</t>
  </si>
  <si>
    <t>RELIQUAT/FACTURE CONCEPTS N° 335-CPS-2025</t>
  </si>
  <si>
    <t>07/08/2025</t>
  </si>
  <si>
    <t>PAIEMENT FACT SOLUTECH / AVANCE DE 50% / N-0215 DU 05/08/2025</t>
  </si>
  <si>
    <t>16/09/2025</t>
  </si>
  <si>
    <t>PAIEMENT FACT SOLUTECH / 50% / N-0223 DU 09/09/2025</t>
  </si>
  <si>
    <t>01/10/2025</t>
  </si>
  <si>
    <t>RGLT FACT ENSD N° 1453 AG NDB</t>
  </si>
  <si>
    <t>02/12/2025</t>
  </si>
  <si>
    <t>RGLT FACT ETS TUNIGUI N° FA/44/2025 QUATRIEME TRANCHE  / AG SEBKHA</t>
  </si>
  <si>
    <t>Solde au 31/12/2025</t>
  </si>
  <si>
    <t>Solde au 01/01/2026</t>
  </si>
  <si>
    <t>06/01/2026</t>
  </si>
  <si>
    <t>RGLT FACT ETS KERIM N° FACT-11-2025-1929</t>
  </si>
  <si>
    <t xml:space="preserve">SIEGE CENTRAL </t>
  </si>
  <si>
    <t>06/04/2026</t>
  </si>
  <si>
    <t>RGLT FACT ETS MOULAYE GHADOUR / FACT N°INV09422</t>
  </si>
  <si>
    <t>Solde au 30/06/2026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</si>
</sst>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.00\ _F_-;\-* #,##0.00\ _F_-;_-* &quot;-&quot;??\ _F_-;_-@_-"/>
    <numFmt numFmtId="165" formatCode="_-* #,##0.00\ _€_-;\-* #,##0.00\ _€_-;_-* &quot;-&quot;??\ _€_-;_-@_-"/>
    <numFmt numFmtId="166" formatCode="dd/mm/yy;@"/>
    <numFmt numFmtId="167" formatCode="_-* #,##0\ _€_-;\-* #,##0\ _€_-;_-* &quot;-&quot;\ _€_-;_-@_-"/>
    <numFmt numFmtId="168" formatCode="_-* #,##0.00\ _U_M_-;\-* #,##0.00\ _U_M_-;_-* &quot;-&quot;??\ _U_M_-;_-@_-"/>
  </numFmts>
  <fonts count="8" x14ac:knownFonts="1"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12"/>
      <color theme="1"/>
      <name val="Calibri"/>
      <family val="2"/>
      <scheme val="minor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165" fontId="4" fillId="0" borderId="0" xfId="0" applyNumberFormat="1" applyFont="1"/>
    <xf numFmtId="0" fontId="3" fillId="2" borderId="1" xfId="0" applyFont="1" applyFill="1" applyBorder="1"/>
    <xf numFmtId="0" fontId="3" fillId="2" borderId="2" xfId="0" applyFont="1" applyFill="1" applyBorder="1"/>
    <xf numFmtId="0" fontId="3" fillId="3" borderId="3" xfId="0" applyFont="1" applyFill="1" applyBorder="1"/>
    <xf numFmtId="0" fontId="3" fillId="3" borderId="1" xfId="0" applyFont="1" applyFill="1" applyBorder="1"/>
    <xf numFmtId="0" fontId="3" fillId="2" borderId="1" xfId="0" applyFont="1" applyFill="1" applyBorder="1" applyAlignment="1">
      <alignment horizontal="center"/>
    </xf>
    <xf numFmtId="0" fontId="3" fillId="2" borderId="4" xfId="0" applyFont="1" applyFill="1" applyBorder="1"/>
    <xf numFmtId="0" fontId="3" fillId="2" borderId="5" xfId="0" applyFont="1" applyFill="1" applyBorder="1"/>
    <xf numFmtId="0" fontId="3" fillId="2" borderId="4" xfId="0" applyFont="1" applyFill="1" applyBorder="1" applyAlignment="1">
      <alignment horizontal="center"/>
    </xf>
    <xf numFmtId="0" fontId="3" fillId="3" borderId="6" xfId="0" applyFont="1" applyFill="1" applyBorder="1"/>
    <xf numFmtId="0" fontId="3" fillId="3" borderId="4" xfId="0" applyFont="1" applyFill="1" applyBorder="1"/>
    <xf numFmtId="0" fontId="3" fillId="2" borderId="7" xfId="0" applyFont="1" applyFill="1" applyBorder="1" applyAlignment="1">
      <alignment horizontal="center"/>
    </xf>
    <xf numFmtId="166" fontId="4" fillId="4" borderId="8" xfId="0" applyNumberFormat="1" applyFont="1" applyFill="1" applyBorder="1"/>
    <xf numFmtId="0" fontId="4" fillId="4" borderId="8" xfId="0" applyFont="1" applyFill="1" applyBorder="1"/>
    <xf numFmtId="0" fontId="3" fillId="4" borderId="8" xfId="0" applyFont="1" applyFill="1" applyBorder="1"/>
    <xf numFmtId="165" fontId="3" fillId="4" borderId="8" xfId="0" applyNumberFormat="1" applyFont="1" applyFill="1" applyBorder="1"/>
    <xf numFmtId="9" fontId="4" fillId="4" borderId="8" xfId="0" applyNumberFormat="1" applyFont="1" applyFill="1" applyBorder="1"/>
    <xf numFmtId="165" fontId="4" fillId="4" borderId="8" xfId="0" applyNumberFormat="1" applyFont="1" applyFill="1" applyBorder="1"/>
    <xf numFmtId="167" fontId="4" fillId="4" borderId="8" xfId="0" applyNumberFormat="1" applyFont="1" applyFill="1" applyBorder="1"/>
    <xf numFmtId="166" fontId="3" fillId="2" borderId="9" xfId="0" applyNumberFormat="1" applyFont="1" applyFill="1" applyBorder="1"/>
    <xf numFmtId="167" fontId="3" fillId="2" borderId="8" xfId="0" applyNumberFormat="1" applyFont="1" applyFill="1" applyBorder="1"/>
    <xf numFmtId="0" fontId="3" fillId="2" borderId="10" xfId="0" applyFont="1" applyFill="1" applyBorder="1"/>
    <xf numFmtId="165" fontId="3" fillId="2" borderId="8" xfId="0" applyNumberFormat="1" applyFont="1" applyFill="1" applyBorder="1"/>
    <xf numFmtId="9" fontId="4" fillId="2" borderId="8" xfId="0" applyNumberFormat="1" applyFont="1" applyFill="1" applyBorder="1"/>
    <xf numFmtId="166" fontId="4" fillId="0" borderId="9" xfId="0" applyNumberFormat="1" applyFont="1" applyBorder="1"/>
    <xf numFmtId="167" fontId="3" fillId="0" borderId="8" xfId="0" applyNumberFormat="1" applyFont="1" applyBorder="1"/>
    <xf numFmtId="0" fontId="3" fillId="0" borderId="10" xfId="0" applyFont="1" applyBorder="1"/>
    <xf numFmtId="9" fontId="4" fillId="0" borderId="8" xfId="0" applyNumberFormat="1" applyFont="1" applyBorder="1"/>
    <xf numFmtId="165" fontId="3" fillId="0" borderId="8" xfId="0" applyNumberFormat="1" applyFont="1" applyBorder="1"/>
    <xf numFmtId="165" fontId="3" fillId="2" borderId="10" xfId="0" applyNumberFormat="1" applyFont="1" applyFill="1" applyBorder="1"/>
    <xf numFmtId="166" fontId="4" fillId="4" borderId="9" xfId="0" applyNumberFormat="1" applyFont="1" applyFill="1" applyBorder="1"/>
    <xf numFmtId="0" fontId="4" fillId="4" borderId="11" xfId="0" applyFont="1" applyFill="1" applyBorder="1"/>
    <xf numFmtId="165" fontId="4" fillId="4" borderId="11" xfId="0" applyNumberFormat="1" applyFont="1" applyFill="1" applyBorder="1"/>
    <xf numFmtId="165" fontId="0" fillId="4" borderId="8" xfId="0" applyNumberFormat="1" applyFill="1" applyBorder="1"/>
    <xf numFmtId="166" fontId="3" fillId="2" borderId="8" xfId="0" applyNumberFormat="1" applyFont="1" applyFill="1" applyBorder="1"/>
    <xf numFmtId="167" fontId="4" fillId="2" borderId="8" xfId="0" applyNumberFormat="1" applyFont="1" applyFill="1" applyBorder="1"/>
    <xf numFmtId="0" fontId="3" fillId="2" borderId="8" xfId="0" applyFont="1" applyFill="1" applyBorder="1"/>
    <xf numFmtId="166" fontId="5" fillId="2" borderId="8" xfId="0" applyNumberFormat="1" applyFont="1" applyFill="1" applyBorder="1"/>
    <xf numFmtId="0" fontId="5" fillId="2" borderId="8" xfId="0" applyFont="1" applyFill="1" applyBorder="1"/>
    <xf numFmtId="165" fontId="5" fillId="2" borderId="8" xfId="0" applyNumberFormat="1" applyFont="1" applyFill="1" applyBorder="1"/>
    <xf numFmtId="9" fontId="3" fillId="2" borderId="8" xfId="0" applyNumberFormat="1" applyFont="1" applyFill="1" applyBorder="1"/>
    <xf numFmtId="166" fontId="0" fillId="4" borderId="8" xfId="0" applyNumberFormat="1" applyFill="1" applyBorder="1"/>
    <xf numFmtId="0" fontId="0" fillId="4" borderId="8" xfId="0" applyFill="1" applyBorder="1"/>
    <xf numFmtId="165" fontId="1" fillId="4" borderId="8" xfId="0" applyNumberFormat="1" applyFont="1" applyFill="1" applyBorder="1"/>
    <xf numFmtId="165" fontId="0" fillId="0" borderId="0" xfId="0" applyNumberFormat="1"/>
    <xf numFmtId="0" fontId="1" fillId="4" borderId="8" xfId="0" applyFont="1" applyFill="1" applyBorder="1"/>
    <xf numFmtId="167" fontId="1" fillId="4" borderId="8" xfId="0" applyNumberFormat="1" applyFont="1" applyFill="1" applyBorder="1"/>
    <xf numFmtId="0" fontId="0" fillId="4" borderId="4" xfId="0" applyFill="1" applyBorder="1"/>
    <xf numFmtId="0" fontId="1" fillId="4" borderId="4" xfId="0" applyFont="1" applyFill="1" applyBorder="1"/>
    <xf numFmtId="166" fontId="5" fillId="0" borderId="0" xfId="0" applyNumberFormat="1" applyFont="1"/>
    <xf numFmtId="0" fontId="5" fillId="0" borderId="0" xfId="0" applyFont="1"/>
    <xf numFmtId="165" fontId="5" fillId="0" borderId="0" xfId="0" applyNumberFormat="1" applyFont="1"/>
    <xf numFmtId="9" fontId="3" fillId="0" borderId="0" xfId="0" applyNumberFormat="1" applyFont="1"/>
    <xf numFmtId="4" fontId="0" fillId="0" borderId="0" xfId="0" applyNumberFormat="1"/>
    <xf numFmtId="9" fontId="5" fillId="2" borderId="8" xfId="2" applyFont="1" applyFill="1" applyBorder="1"/>
    <xf numFmtId="165" fontId="0" fillId="0" borderId="0" xfId="1" applyFont="1"/>
    <xf numFmtId="14" fontId="0" fillId="0" borderId="0" xfId="0" applyNumberFormat="1"/>
    <xf numFmtId="14" fontId="3" fillId="2" borderId="8" xfId="0" applyNumberFormat="1" applyFont="1" applyFill="1" applyBorder="1"/>
    <xf numFmtId="0" fontId="0" fillId="0" borderId="8" xfId="0" applyBorder="1"/>
    <xf numFmtId="168" fontId="0" fillId="0" borderId="0" xfId="0" applyNumberFormat="1"/>
    <xf numFmtId="0" fontId="1" fillId="0" borderId="0" xfId="0" applyFont="1"/>
    <xf numFmtId="49" fontId="6" fillId="4" borderId="0" xfId="0" applyNumberFormat="1" applyFont="1" applyFill="1" applyAlignment="1">
      <alignment horizontal="center"/>
    </xf>
    <xf numFmtId="49" fontId="6" fillId="4" borderId="8" xfId="0" applyNumberFormat="1" applyFont="1" applyFill="1" applyBorder="1"/>
    <xf numFmtId="165" fontId="7" fillId="0" borderId="0" xfId="0" applyNumberFormat="1" applyFont="1"/>
    <xf numFmtId="165" fontId="0" fillId="0" borderId="8" xfId="0" applyNumberFormat="1" applyBorder="1"/>
    <xf numFmtId="165" fontId="5" fillId="2" borderId="8" xfId="1" applyFont="1" applyFill="1" applyBorder="1"/>
    <xf numFmtId="165" fontId="7" fillId="0" borderId="0" xfId="1" applyFont="1"/>
    <xf numFmtId="14" fontId="3" fillId="0" borderId="0" xfId="0" applyNumberFormat="1" applyFont="1" applyAlignment="1">
      <alignment horizontal="left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69B0-90F4-4B66-8072-3EE65E38F223}">
  <sheetPr>
    <tabColor rgb="FF92D050"/>
  </sheetPr>
  <dimension ref="A1:L482"/>
  <sheetViews>
    <sheetView tabSelected="1" zoomScaleNormal="100" workbookViewId="0">
      <pane ySplit="8" topLeftCell="A474" activePane="bottomLeft" state="frozen"/>
      <selection pane="bottomLeft" activeCell="G480" sqref="G480"/>
    </sheetView>
  </sheetViews>
  <sheetFormatPr baseColWidth="10" defaultRowHeight="12.5" x14ac:dyDescent="0.25"/>
  <cols>
    <col min="1" max="1" width="11.7265625" customWidth="1"/>
    <col min="2" max="2" width="4.54296875" customWidth="1"/>
    <col min="3" max="3" width="60.1796875" bestFit="1" customWidth="1"/>
    <col min="4" max="4" width="19.1796875" bestFit="1" customWidth="1"/>
    <col min="5" max="5" width="4.54296875" customWidth="1"/>
    <col min="6" max="6" width="16.54296875" bestFit="1" customWidth="1"/>
    <col min="7" max="7" width="17.81640625" bestFit="1" customWidth="1"/>
    <col min="8" max="8" width="17.453125" bestFit="1" customWidth="1"/>
    <col min="9" max="11" width="16.54296875" bestFit="1" customWidth="1"/>
    <col min="12" max="12" width="18.453125" bestFit="1" customWidth="1"/>
    <col min="257" max="257" width="11.7265625" customWidth="1"/>
    <col min="258" max="258" width="4.54296875" customWidth="1"/>
    <col min="259" max="259" width="60.1796875" bestFit="1" customWidth="1"/>
    <col min="260" max="260" width="19.1796875" bestFit="1" customWidth="1"/>
    <col min="261" max="261" width="4.54296875" customWidth="1"/>
    <col min="262" max="262" width="16.54296875" bestFit="1" customWidth="1"/>
    <col min="263" max="263" width="17.81640625" bestFit="1" customWidth="1"/>
    <col min="264" max="264" width="17.453125" bestFit="1" customWidth="1"/>
    <col min="265" max="267" width="16.54296875" bestFit="1" customWidth="1"/>
    <col min="268" max="268" width="18.453125" bestFit="1" customWidth="1"/>
    <col min="513" max="513" width="11.7265625" customWidth="1"/>
    <col min="514" max="514" width="4.54296875" customWidth="1"/>
    <col min="515" max="515" width="60.1796875" bestFit="1" customWidth="1"/>
    <col min="516" max="516" width="19.1796875" bestFit="1" customWidth="1"/>
    <col min="517" max="517" width="4.54296875" customWidth="1"/>
    <col min="518" max="518" width="16.54296875" bestFit="1" customWidth="1"/>
    <col min="519" max="519" width="17.81640625" bestFit="1" customWidth="1"/>
    <col min="520" max="520" width="17.453125" bestFit="1" customWidth="1"/>
    <col min="521" max="523" width="16.54296875" bestFit="1" customWidth="1"/>
    <col min="524" max="524" width="18.453125" bestFit="1" customWidth="1"/>
    <col min="769" max="769" width="11.7265625" customWidth="1"/>
    <col min="770" max="770" width="4.54296875" customWidth="1"/>
    <col min="771" max="771" width="60.1796875" bestFit="1" customWidth="1"/>
    <col min="772" max="772" width="19.1796875" bestFit="1" customWidth="1"/>
    <col min="773" max="773" width="4.54296875" customWidth="1"/>
    <col min="774" max="774" width="16.54296875" bestFit="1" customWidth="1"/>
    <col min="775" max="775" width="17.81640625" bestFit="1" customWidth="1"/>
    <col min="776" max="776" width="17.453125" bestFit="1" customWidth="1"/>
    <col min="777" max="779" width="16.54296875" bestFit="1" customWidth="1"/>
    <col min="780" max="780" width="18.453125" bestFit="1" customWidth="1"/>
    <col min="1025" max="1025" width="11.7265625" customWidth="1"/>
    <col min="1026" max="1026" width="4.54296875" customWidth="1"/>
    <col min="1027" max="1027" width="60.1796875" bestFit="1" customWidth="1"/>
    <col min="1028" max="1028" width="19.1796875" bestFit="1" customWidth="1"/>
    <col min="1029" max="1029" width="4.54296875" customWidth="1"/>
    <col min="1030" max="1030" width="16.54296875" bestFit="1" customWidth="1"/>
    <col min="1031" max="1031" width="17.81640625" bestFit="1" customWidth="1"/>
    <col min="1032" max="1032" width="17.453125" bestFit="1" customWidth="1"/>
    <col min="1033" max="1035" width="16.54296875" bestFit="1" customWidth="1"/>
    <col min="1036" max="1036" width="18.453125" bestFit="1" customWidth="1"/>
    <col min="1281" max="1281" width="11.7265625" customWidth="1"/>
    <col min="1282" max="1282" width="4.54296875" customWidth="1"/>
    <col min="1283" max="1283" width="60.1796875" bestFit="1" customWidth="1"/>
    <col min="1284" max="1284" width="19.1796875" bestFit="1" customWidth="1"/>
    <col min="1285" max="1285" width="4.54296875" customWidth="1"/>
    <col min="1286" max="1286" width="16.54296875" bestFit="1" customWidth="1"/>
    <col min="1287" max="1287" width="17.81640625" bestFit="1" customWidth="1"/>
    <col min="1288" max="1288" width="17.453125" bestFit="1" customWidth="1"/>
    <col min="1289" max="1291" width="16.54296875" bestFit="1" customWidth="1"/>
    <col min="1292" max="1292" width="18.453125" bestFit="1" customWidth="1"/>
    <col min="1537" max="1537" width="11.7265625" customWidth="1"/>
    <col min="1538" max="1538" width="4.54296875" customWidth="1"/>
    <col min="1539" max="1539" width="60.1796875" bestFit="1" customWidth="1"/>
    <col min="1540" max="1540" width="19.1796875" bestFit="1" customWidth="1"/>
    <col min="1541" max="1541" width="4.54296875" customWidth="1"/>
    <col min="1542" max="1542" width="16.54296875" bestFit="1" customWidth="1"/>
    <col min="1543" max="1543" width="17.81640625" bestFit="1" customWidth="1"/>
    <col min="1544" max="1544" width="17.453125" bestFit="1" customWidth="1"/>
    <col min="1545" max="1547" width="16.54296875" bestFit="1" customWidth="1"/>
    <col min="1548" max="1548" width="18.453125" bestFit="1" customWidth="1"/>
    <col min="1793" max="1793" width="11.7265625" customWidth="1"/>
    <col min="1794" max="1794" width="4.54296875" customWidth="1"/>
    <col min="1795" max="1795" width="60.1796875" bestFit="1" customWidth="1"/>
    <col min="1796" max="1796" width="19.1796875" bestFit="1" customWidth="1"/>
    <col min="1797" max="1797" width="4.54296875" customWidth="1"/>
    <col min="1798" max="1798" width="16.54296875" bestFit="1" customWidth="1"/>
    <col min="1799" max="1799" width="17.81640625" bestFit="1" customWidth="1"/>
    <col min="1800" max="1800" width="17.453125" bestFit="1" customWidth="1"/>
    <col min="1801" max="1803" width="16.54296875" bestFit="1" customWidth="1"/>
    <col min="1804" max="1804" width="18.453125" bestFit="1" customWidth="1"/>
    <col min="2049" max="2049" width="11.7265625" customWidth="1"/>
    <col min="2050" max="2050" width="4.54296875" customWidth="1"/>
    <col min="2051" max="2051" width="60.1796875" bestFit="1" customWidth="1"/>
    <col min="2052" max="2052" width="19.1796875" bestFit="1" customWidth="1"/>
    <col min="2053" max="2053" width="4.54296875" customWidth="1"/>
    <col min="2054" max="2054" width="16.54296875" bestFit="1" customWidth="1"/>
    <col min="2055" max="2055" width="17.81640625" bestFit="1" customWidth="1"/>
    <col min="2056" max="2056" width="17.453125" bestFit="1" customWidth="1"/>
    <col min="2057" max="2059" width="16.54296875" bestFit="1" customWidth="1"/>
    <col min="2060" max="2060" width="18.453125" bestFit="1" customWidth="1"/>
    <col min="2305" max="2305" width="11.7265625" customWidth="1"/>
    <col min="2306" max="2306" width="4.54296875" customWidth="1"/>
    <col min="2307" max="2307" width="60.1796875" bestFit="1" customWidth="1"/>
    <col min="2308" max="2308" width="19.1796875" bestFit="1" customWidth="1"/>
    <col min="2309" max="2309" width="4.54296875" customWidth="1"/>
    <col min="2310" max="2310" width="16.54296875" bestFit="1" customWidth="1"/>
    <col min="2311" max="2311" width="17.81640625" bestFit="1" customWidth="1"/>
    <col min="2312" max="2312" width="17.453125" bestFit="1" customWidth="1"/>
    <col min="2313" max="2315" width="16.54296875" bestFit="1" customWidth="1"/>
    <col min="2316" max="2316" width="18.453125" bestFit="1" customWidth="1"/>
    <col min="2561" max="2561" width="11.7265625" customWidth="1"/>
    <col min="2562" max="2562" width="4.54296875" customWidth="1"/>
    <col min="2563" max="2563" width="60.1796875" bestFit="1" customWidth="1"/>
    <col min="2564" max="2564" width="19.1796875" bestFit="1" customWidth="1"/>
    <col min="2565" max="2565" width="4.54296875" customWidth="1"/>
    <col min="2566" max="2566" width="16.54296875" bestFit="1" customWidth="1"/>
    <col min="2567" max="2567" width="17.81640625" bestFit="1" customWidth="1"/>
    <col min="2568" max="2568" width="17.453125" bestFit="1" customWidth="1"/>
    <col min="2569" max="2571" width="16.54296875" bestFit="1" customWidth="1"/>
    <col min="2572" max="2572" width="18.453125" bestFit="1" customWidth="1"/>
    <col min="2817" max="2817" width="11.7265625" customWidth="1"/>
    <col min="2818" max="2818" width="4.54296875" customWidth="1"/>
    <col min="2819" max="2819" width="60.1796875" bestFit="1" customWidth="1"/>
    <col min="2820" max="2820" width="19.1796875" bestFit="1" customWidth="1"/>
    <col min="2821" max="2821" width="4.54296875" customWidth="1"/>
    <col min="2822" max="2822" width="16.54296875" bestFit="1" customWidth="1"/>
    <col min="2823" max="2823" width="17.81640625" bestFit="1" customWidth="1"/>
    <col min="2824" max="2824" width="17.453125" bestFit="1" customWidth="1"/>
    <col min="2825" max="2827" width="16.54296875" bestFit="1" customWidth="1"/>
    <col min="2828" max="2828" width="18.453125" bestFit="1" customWidth="1"/>
    <col min="3073" max="3073" width="11.7265625" customWidth="1"/>
    <col min="3074" max="3074" width="4.54296875" customWidth="1"/>
    <col min="3075" max="3075" width="60.1796875" bestFit="1" customWidth="1"/>
    <col min="3076" max="3076" width="19.1796875" bestFit="1" customWidth="1"/>
    <col min="3077" max="3077" width="4.54296875" customWidth="1"/>
    <col min="3078" max="3078" width="16.54296875" bestFit="1" customWidth="1"/>
    <col min="3079" max="3079" width="17.81640625" bestFit="1" customWidth="1"/>
    <col min="3080" max="3080" width="17.453125" bestFit="1" customWidth="1"/>
    <col min="3081" max="3083" width="16.54296875" bestFit="1" customWidth="1"/>
    <col min="3084" max="3084" width="18.453125" bestFit="1" customWidth="1"/>
    <col min="3329" max="3329" width="11.7265625" customWidth="1"/>
    <col min="3330" max="3330" width="4.54296875" customWidth="1"/>
    <col min="3331" max="3331" width="60.1796875" bestFit="1" customWidth="1"/>
    <col min="3332" max="3332" width="19.1796875" bestFit="1" customWidth="1"/>
    <col min="3333" max="3333" width="4.54296875" customWidth="1"/>
    <col min="3334" max="3334" width="16.54296875" bestFit="1" customWidth="1"/>
    <col min="3335" max="3335" width="17.81640625" bestFit="1" customWidth="1"/>
    <col min="3336" max="3336" width="17.453125" bestFit="1" customWidth="1"/>
    <col min="3337" max="3339" width="16.54296875" bestFit="1" customWidth="1"/>
    <col min="3340" max="3340" width="18.453125" bestFit="1" customWidth="1"/>
    <col min="3585" max="3585" width="11.7265625" customWidth="1"/>
    <col min="3586" max="3586" width="4.54296875" customWidth="1"/>
    <col min="3587" max="3587" width="60.1796875" bestFit="1" customWidth="1"/>
    <col min="3588" max="3588" width="19.1796875" bestFit="1" customWidth="1"/>
    <col min="3589" max="3589" width="4.54296875" customWidth="1"/>
    <col min="3590" max="3590" width="16.54296875" bestFit="1" customWidth="1"/>
    <col min="3591" max="3591" width="17.81640625" bestFit="1" customWidth="1"/>
    <col min="3592" max="3592" width="17.453125" bestFit="1" customWidth="1"/>
    <col min="3593" max="3595" width="16.54296875" bestFit="1" customWidth="1"/>
    <col min="3596" max="3596" width="18.453125" bestFit="1" customWidth="1"/>
    <col min="3841" max="3841" width="11.7265625" customWidth="1"/>
    <col min="3842" max="3842" width="4.54296875" customWidth="1"/>
    <col min="3843" max="3843" width="60.1796875" bestFit="1" customWidth="1"/>
    <col min="3844" max="3844" width="19.1796875" bestFit="1" customWidth="1"/>
    <col min="3845" max="3845" width="4.54296875" customWidth="1"/>
    <col min="3846" max="3846" width="16.54296875" bestFit="1" customWidth="1"/>
    <col min="3847" max="3847" width="17.81640625" bestFit="1" customWidth="1"/>
    <col min="3848" max="3848" width="17.453125" bestFit="1" customWidth="1"/>
    <col min="3849" max="3851" width="16.54296875" bestFit="1" customWidth="1"/>
    <col min="3852" max="3852" width="18.453125" bestFit="1" customWidth="1"/>
    <col min="4097" max="4097" width="11.7265625" customWidth="1"/>
    <col min="4098" max="4098" width="4.54296875" customWidth="1"/>
    <col min="4099" max="4099" width="60.1796875" bestFit="1" customWidth="1"/>
    <col min="4100" max="4100" width="19.1796875" bestFit="1" customWidth="1"/>
    <col min="4101" max="4101" width="4.54296875" customWidth="1"/>
    <col min="4102" max="4102" width="16.54296875" bestFit="1" customWidth="1"/>
    <col min="4103" max="4103" width="17.81640625" bestFit="1" customWidth="1"/>
    <col min="4104" max="4104" width="17.453125" bestFit="1" customWidth="1"/>
    <col min="4105" max="4107" width="16.54296875" bestFit="1" customWidth="1"/>
    <col min="4108" max="4108" width="18.453125" bestFit="1" customWidth="1"/>
    <col min="4353" max="4353" width="11.7265625" customWidth="1"/>
    <col min="4354" max="4354" width="4.54296875" customWidth="1"/>
    <col min="4355" max="4355" width="60.1796875" bestFit="1" customWidth="1"/>
    <col min="4356" max="4356" width="19.1796875" bestFit="1" customWidth="1"/>
    <col min="4357" max="4357" width="4.54296875" customWidth="1"/>
    <col min="4358" max="4358" width="16.54296875" bestFit="1" customWidth="1"/>
    <col min="4359" max="4359" width="17.81640625" bestFit="1" customWidth="1"/>
    <col min="4360" max="4360" width="17.453125" bestFit="1" customWidth="1"/>
    <col min="4361" max="4363" width="16.54296875" bestFit="1" customWidth="1"/>
    <col min="4364" max="4364" width="18.453125" bestFit="1" customWidth="1"/>
    <col min="4609" max="4609" width="11.7265625" customWidth="1"/>
    <col min="4610" max="4610" width="4.54296875" customWidth="1"/>
    <col min="4611" max="4611" width="60.1796875" bestFit="1" customWidth="1"/>
    <col min="4612" max="4612" width="19.1796875" bestFit="1" customWidth="1"/>
    <col min="4613" max="4613" width="4.54296875" customWidth="1"/>
    <col min="4614" max="4614" width="16.54296875" bestFit="1" customWidth="1"/>
    <col min="4615" max="4615" width="17.81640625" bestFit="1" customWidth="1"/>
    <col min="4616" max="4616" width="17.453125" bestFit="1" customWidth="1"/>
    <col min="4617" max="4619" width="16.54296875" bestFit="1" customWidth="1"/>
    <col min="4620" max="4620" width="18.453125" bestFit="1" customWidth="1"/>
    <col min="4865" max="4865" width="11.7265625" customWidth="1"/>
    <col min="4866" max="4866" width="4.54296875" customWidth="1"/>
    <col min="4867" max="4867" width="60.1796875" bestFit="1" customWidth="1"/>
    <col min="4868" max="4868" width="19.1796875" bestFit="1" customWidth="1"/>
    <col min="4869" max="4869" width="4.54296875" customWidth="1"/>
    <col min="4870" max="4870" width="16.54296875" bestFit="1" customWidth="1"/>
    <col min="4871" max="4871" width="17.81640625" bestFit="1" customWidth="1"/>
    <col min="4872" max="4872" width="17.453125" bestFit="1" customWidth="1"/>
    <col min="4873" max="4875" width="16.54296875" bestFit="1" customWidth="1"/>
    <col min="4876" max="4876" width="18.453125" bestFit="1" customWidth="1"/>
    <col min="5121" max="5121" width="11.7265625" customWidth="1"/>
    <col min="5122" max="5122" width="4.54296875" customWidth="1"/>
    <col min="5123" max="5123" width="60.1796875" bestFit="1" customWidth="1"/>
    <col min="5124" max="5124" width="19.1796875" bestFit="1" customWidth="1"/>
    <col min="5125" max="5125" width="4.54296875" customWidth="1"/>
    <col min="5126" max="5126" width="16.54296875" bestFit="1" customWidth="1"/>
    <col min="5127" max="5127" width="17.81640625" bestFit="1" customWidth="1"/>
    <col min="5128" max="5128" width="17.453125" bestFit="1" customWidth="1"/>
    <col min="5129" max="5131" width="16.54296875" bestFit="1" customWidth="1"/>
    <col min="5132" max="5132" width="18.453125" bestFit="1" customWidth="1"/>
    <col min="5377" max="5377" width="11.7265625" customWidth="1"/>
    <col min="5378" max="5378" width="4.54296875" customWidth="1"/>
    <col min="5379" max="5379" width="60.1796875" bestFit="1" customWidth="1"/>
    <col min="5380" max="5380" width="19.1796875" bestFit="1" customWidth="1"/>
    <col min="5381" max="5381" width="4.54296875" customWidth="1"/>
    <col min="5382" max="5382" width="16.54296875" bestFit="1" customWidth="1"/>
    <col min="5383" max="5383" width="17.81640625" bestFit="1" customWidth="1"/>
    <col min="5384" max="5384" width="17.453125" bestFit="1" customWidth="1"/>
    <col min="5385" max="5387" width="16.54296875" bestFit="1" customWidth="1"/>
    <col min="5388" max="5388" width="18.453125" bestFit="1" customWidth="1"/>
    <col min="5633" max="5633" width="11.7265625" customWidth="1"/>
    <col min="5634" max="5634" width="4.54296875" customWidth="1"/>
    <col min="5635" max="5635" width="60.1796875" bestFit="1" customWidth="1"/>
    <col min="5636" max="5636" width="19.1796875" bestFit="1" customWidth="1"/>
    <col min="5637" max="5637" width="4.54296875" customWidth="1"/>
    <col min="5638" max="5638" width="16.54296875" bestFit="1" customWidth="1"/>
    <col min="5639" max="5639" width="17.81640625" bestFit="1" customWidth="1"/>
    <col min="5640" max="5640" width="17.453125" bestFit="1" customWidth="1"/>
    <col min="5641" max="5643" width="16.54296875" bestFit="1" customWidth="1"/>
    <col min="5644" max="5644" width="18.453125" bestFit="1" customWidth="1"/>
    <col min="5889" max="5889" width="11.7265625" customWidth="1"/>
    <col min="5890" max="5890" width="4.54296875" customWidth="1"/>
    <col min="5891" max="5891" width="60.1796875" bestFit="1" customWidth="1"/>
    <col min="5892" max="5892" width="19.1796875" bestFit="1" customWidth="1"/>
    <col min="5893" max="5893" width="4.54296875" customWidth="1"/>
    <col min="5894" max="5894" width="16.54296875" bestFit="1" customWidth="1"/>
    <col min="5895" max="5895" width="17.81640625" bestFit="1" customWidth="1"/>
    <col min="5896" max="5896" width="17.453125" bestFit="1" customWidth="1"/>
    <col min="5897" max="5899" width="16.54296875" bestFit="1" customWidth="1"/>
    <col min="5900" max="5900" width="18.453125" bestFit="1" customWidth="1"/>
    <col min="6145" max="6145" width="11.7265625" customWidth="1"/>
    <col min="6146" max="6146" width="4.54296875" customWidth="1"/>
    <col min="6147" max="6147" width="60.1796875" bestFit="1" customWidth="1"/>
    <col min="6148" max="6148" width="19.1796875" bestFit="1" customWidth="1"/>
    <col min="6149" max="6149" width="4.54296875" customWidth="1"/>
    <col min="6150" max="6150" width="16.54296875" bestFit="1" customWidth="1"/>
    <col min="6151" max="6151" width="17.81640625" bestFit="1" customWidth="1"/>
    <col min="6152" max="6152" width="17.453125" bestFit="1" customWidth="1"/>
    <col min="6153" max="6155" width="16.54296875" bestFit="1" customWidth="1"/>
    <col min="6156" max="6156" width="18.453125" bestFit="1" customWidth="1"/>
    <col min="6401" max="6401" width="11.7265625" customWidth="1"/>
    <col min="6402" max="6402" width="4.54296875" customWidth="1"/>
    <col min="6403" max="6403" width="60.1796875" bestFit="1" customWidth="1"/>
    <col min="6404" max="6404" width="19.1796875" bestFit="1" customWidth="1"/>
    <col min="6405" max="6405" width="4.54296875" customWidth="1"/>
    <col min="6406" max="6406" width="16.54296875" bestFit="1" customWidth="1"/>
    <col min="6407" max="6407" width="17.81640625" bestFit="1" customWidth="1"/>
    <col min="6408" max="6408" width="17.453125" bestFit="1" customWidth="1"/>
    <col min="6409" max="6411" width="16.54296875" bestFit="1" customWidth="1"/>
    <col min="6412" max="6412" width="18.453125" bestFit="1" customWidth="1"/>
    <col min="6657" max="6657" width="11.7265625" customWidth="1"/>
    <col min="6658" max="6658" width="4.54296875" customWidth="1"/>
    <col min="6659" max="6659" width="60.1796875" bestFit="1" customWidth="1"/>
    <col min="6660" max="6660" width="19.1796875" bestFit="1" customWidth="1"/>
    <col min="6661" max="6661" width="4.54296875" customWidth="1"/>
    <col min="6662" max="6662" width="16.54296875" bestFit="1" customWidth="1"/>
    <col min="6663" max="6663" width="17.81640625" bestFit="1" customWidth="1"/>
    <col min="6664" max="6664" width="17.453125" bestFit="1" customWidth="1"/>
    <col min="6665" max="6667" width="16.54296875" bestFit="1" customWidth="1"/>
    <col min="6668" max="6668" width="18.453125" bestFit="1" customWidth="1"/>
    <col min="6913" max="6913" width="11.7265625" customWidth="1"/>
    <col min="6914" max="6914" width="4.54296875" customWidth="1"/>
    <col min="6915" max="6915" width="60.1796875" bestFit="1" customWidth="1"/>
    <col min="6916" max="6916" width="19.1796875" bestFit="1" customWidth="1"/>
    <col min="6917" max="6917" width="4.54296875" customWidth="1"/>
    <col min="6918" max="6918" width="16.54296875" bestFit="1" customWidth="1"/>
    <col min="6919" max="6919" width="17.81640625" bestFit="1" customWidth="1"/>
    <col min="6920" max="6920" width="17.453125" bestFit="1" customWidth="1"/>
    <col min="6921" max="6923" width="16.54296875" bestFit="1" customWidth="1"/>
    <col min="6924" max="6924" width="18.453125" bestFit="1" customWidth="1"/>
    <col min="7169" max="7169" width="11.7265625" customWidth="1"/>
    <col min="7170" max="7170" width="4.54296875" customWidth="1"/>
    <col min="7171" max="7171" width="60.1796875" bestFit="1" customWidth="1"/>
    <col min="7172" max="7172" width="19.1796875" bestFit="1" customWidth="1"/>
    <col min="7173" max="7173" width="4.54296875" customWidth="1"/>
    <col min="7174" max="7174" width="16.54296875" bestFit="1" customWidth="1"/>
    <col min="7175" max="7175" width="17.81640625" bestFit="1" customWidth="1"/>
    <col min="7176" max="7176" width="17.453125" bestFit="1" customWidth="1"/>
    <col min="7177" max="7179" width="16.54296875" bestFit="1" customWidth="1"/>
    <col min="7180" max="7180" width="18.453125" bestFit="1" customWidth="1"/>
    <col min="7425" max="7425" width="11.7265625" customWidth="1"/>
    <col min="7426" max="7426" width="4.54296875" customWidth="1"/>
    <col min="7427" max="7427" width="60.1796875" bestFit="1" customWidth="1"/>
    <col min="7428" max="7428" width="19.1796875" bestFit="1" customWidth="1"/>
    <col min="7429" max="7429" width="4.54296875" customWidth="1"/>
    <col min="7430" max="7430" width="16.54296875" bestFit="1" customWidth="1"/>
    <col min="7431" max="7431" width="17.81640625" bestFit="1" customWidth="1"/>
    <col min="7432" max="7432" width="17.453125" bestFit="1" customWidth="1"/>
    <col min="7433" max="7435" width="16.54296875" bestFit="1" customWidth="1"/>
    <col min="7436" max="7436" width="18.453125" bestFit="1" customWidth="1"/>
    <col min="7681" max="7681" width="11.7265625" customWidth="1"/>
    <col min="7682" max="7682" width="4.54296875" customWidth="1"/>
    <col min="7683" max="7683" width="60.1796875" bestFit="1" customWidth="1"/>
    <col min="7684" max="7684" width="19.1796875" bestFit="1" customWidth="1"/>
    <col min="7685" max="7685" width="4.54296875" customWidth="1"/>
    <col min="7686" max="7686" width="16.54296875" bestFit="1" customWidth="1"/>
    <col min="7687" max="7687" width="17.81640625" bestFit="1" customWidth="1"/>
    <col min="7688" max="7688" width="17.453125" bestFit="1" customWidth="1"/>
    <col min="7689" max="7691" width="16.54296875" bestFit="1" customWidth="1"/>
    <col min="7692" max="7692" width="18.453125" bestFit="1" customWidth="1"/>
    <col min="7937" max="7937" width="11.7265625" customWidth="1"/>
    <col min="7938" max="7938" width="4.54296875" customWidth="1"/>
    <col min="7939" max="7939" width="60.1796875" bestFit="1" customWidth="1"/>
    <col min="7940" max="7940" width="19.1796875" bestFit="1" customWidth="1"/>
    <col min="7941" max="7941" width="4.54296875" customWidth="1"/>
    <col min="7942" max="7942" width="16.54296875" bestFit="1" customWidth="1"/>
    <col min="7943" max="7943" width="17.81640625" bestFit="1" customWidth="1"/>
    <col min="7944" max="7944" width="17.453125" bestFit="1" customWidth="1"/>
    <col min="7945" max="7947" width="16.54296875" bestFit="1" customWidth="1"/>
    <col min="7948" max="7948" width="18.453125" bestFit="1" customWidth="1"/>
    <col min="8193" max="8193" width="11.7265625" customWidth="1"/>
    <col min="8194" max="8194" width="4.54296875" customWidth="1"/>
    <col min="8195" max="8195" width="60.1796875" bestFit="1" customWidth="1"/>
    <col min="8196" max="8196" width="19.1796875" bestFit="1" customWidth="1"/>
    <col min="8197" max="8197" width="4.54296875" customWidth="1"/>
    <col min="8198" max="8198" width="16.54296875" bestFit="1" customWidth="1"/>
    <col min="8199" max="8199" width="17.81640625" bestFit="1" customWidth="1"/>
    <col min="8200" max="8200" width="17.453125" bestFit="1" customWidth="1"/>
    <col min="8201" max="8203" width="16.54296875" bestFit="1" customWidth="1"/>
    <col min="8204" max="8204" width="18.453125" bestFit="1" customWidth="1"/>
    <col min="8449" max="8449" width="11.7265625" customWidth="1"/>
    <col min="8450" max="8450" width="4.54296875" customWidth="1"/>
    <col min="8451" max="8451" width="60.1796875" bestFit="1" customWidth="1"/>
    <col min="8452" max="8452" width="19.1796875" bestFit="1" customWidth="1"/>
    <col min="8453" max="8453" width="4.54296875" customWidth="1"/>
    <col min="8454" max="8454" width="16.54296875" bestFit="1" customWidth="1"/>
    <col min="8455" max="8455" width="17.81640625" bestFit="1" customWidth="1"/>
    <col min="8456" max="8456" width="17.453125" bestFit="1" customWidth="1"/>
    <col min="8457" max="8459" width="16.54296875" bestFit="1" customWidth="1"/>
    <col min="8460" max="8460" width="18.453125" bestFit="1" customWidth="1"/>
    <col min="8705" max="8705" width="11.7265625" customWidth="1"/>
    <col min="8706" max="8706" width="4.54296875" customWidth="1"/>
    <col min="8707" max="8707" width="60.1796875" bestFit="1" customWidth="1"/>
    <col min="8708" max="8708" width="19.1796875" bestFit="1" customWidth="1"/>
    <col min="8709" max="8709" width="4.54296875" customWidth="1"/>
    <col min="8710" max="8710" width="16.54296875" bestFit="1" customWidth="1"/>
    <col min="8711" max="8711" width="17.81640625" bestFit="1" customWidth="1"/>
    <col min="8712" max="8712" width="17.453125" bestFit="1" customWidth="1"/>
    <col min="8713" max="8715" width="16.54296875" bestFit="1" customWidth="1"/>
    <col min="8716" max="8716" width="18.453125" bestFit="1" customWidth="1"/>
    <col min="8961" max="8961" width="11.7265625" customWidth="1"/>
    <col min="8962" max="8962" width="4.54296875" customWidth="1"/>
    <col min="8963" max="8963" width="60.1796875" bestFit="1" customWidth="1"/>
    <col min="8964" max="8964" width="19.1796875" bestFit="1" customWidth="1"/>
    <col min="8965" max="8965" width="4.54296875" customWidth="1"/>
    <col min="8966" max="8966" width="16.54296875" bestFit="1" customWidth="1"/>
    <col min="8967" max="8967" width="17.81640625" bestFit="1" customWidth="1"/>
    <col min="8968" max="8968" width="17.453125" bestFit="1" customWidth="1"/>
    <col min="8969" max="8971" width="16.54296875" bestFit="1" customWidth="1"/>
    <col min="8972" max="8972" width="18.453125" bestFit="1" customWidth="1"/>
    <col min="9217" max="9217" width="11.7265625" customWidth="1"/>
    <col min="9218" max="9218" width="4.54296875" customWidth="1"/>
    <col min="9219" max="9219" width="60.1796875" bestFit="1" customWidth="1"/>
    <col min="9220" max="9220" width="19.1796875" bestFit="1" customWidth="1"/>
    <col min="9221" max="9221" width="4.54296875" customWidth="1"/>
    <col min="9222" max="9222" width="16.54296875" bestFit="1" customWidth="1"/>
    <col min="9223" max="9223" width="17.81640625" bestFit="1" customWidth="1"/>
    <col min="9224" max="9224" width="17.453125" bestFit="1" customWidth="1"/>
    <col min="9225" max="9227" width="16.54296875" bestFit="1" customWidth="1"/>
    <col min="9228" max="9228" width="18.453125" bestFit="1" customWidth="1"/>
    <col min="9473" max="9473" width="11.7265625" customWidth="1"/>
    <col min="9474" max="9474" width="4.54296875" customWidth="1"/>
    <col min="9475" max="9475" width="60.1796875" bestFit="1" customWidth="1"/>
    <col min="9476" max="9476" width="19.1796875" bestFit="1" customWidth="1"/>
    <col min="9477" max="9477" width="4.54296875" customWidth="1"/>
    <col min="9478" max="9478" width="16.54296875" bestFit="1" customWidth="1"/>
    <col min="9479" max="9479" width="17.81640625" bestFit="1" customWidth="1"/>
    <col min="9480" max="9480" width="17.453125" bestFit="1" customWidth="1"/>
    <col min="9481" max="9483" width="16.54296875" bestFit="1" customWidth="1"/>
    <col min="9484" max="9484" width="18.453125" bestFit="1" customWidth="1"/>
    <col min="9729" max="9729" width="11.7265625" customWidth="1"/>
    <col min="9730" max="9730" width="4.54296875" customWidth="1"/>
    <col min="9731" max="9731" width="60.1796875" bestFit="1" customWidth="1"/>
    <col min="9732" max="9732" width="19.1796875" bestFit="1" customWidth="1"/>
    <col min="9733" max="9733" width="4.54296875" customWidth="1"/>
    <col min="9734" max="9734" width="16.54296875" bestFit="1" customWidth="1"/>
    <col min="9735" max="9735" width="17.81640625" bestFit="1" customWidth="1"/>
    <col min="9736" max="9736" width="17.453125" bestFit="1" customWidth="1"/>
    <col min="9737" max="9739" width="16.54296875" bestFit="1" customWidth="1"/>
    <col min="9740" max="9740" width="18.453125" bestFit="1" customWidth="1"/>
    <col min="9985" max="9985" width="11.7265625" customWidth="1"/>
    <col min="9986" max="9986" width="4.54296875" customWidth="1"/>
    <col min="9987" max="9987" width="60.1796875" bestFit="1" customWidth="1"/>
    <col min="9988" max="9988" width="19.1796875" bestFit="1" customWidth="1"/>
    <col min="9989" max="9989" width="4.54296875" customWidth="1"/>
    <col min="9990" max="9990" width="16.54296875" bestFit="1" customWidth="1"/>
    <col min="9991" max="9991" width="17.81640625" bestFit="1" customWidth="1"/>
    <col min="9992" max="9992" width="17.453125" bestFit="1" customWidth="1"/>
    <col min="9993" max="9995" width="16.54296875" bestFit="1" customWidth="1"/>
    <col min="9996" max="9996" width="18.453125" bestFit="1" customWidth="1"/>
    <col min="10241" max="10241" width="11.7265625" customWidth="1"/>
    <col min="10242" max="10242" width="4.54296875" customWidth="1"/>
    <col min="10243" max="10243" width="60.1796875" bestFit="1" customWidth="1"/>
    <col min="10244" max="10244" width="19.1796875" bestFit="1" customWidth="1"/>
    <col min="10245" max="10245" width="4.54296875" customWidth="1"/>
    <col min="10246" max="10246" width="16.54296875" bestFit="1" customWidth="1"/>
    <col min="10247" max="10247" width="17.81640625" bestFit="1" customWidth="1"/>
    <col min="10248" max="10248" width="17.453125" bestFit="1" customWidth="1"/>
    <col min="10249" max="10251" width="16.54296875" bestFit="1" customWidth="1"/>
    <col min="10252" max="10252" width="18.453125" bestFit="1" customWidth="1"/>
    <col min="10497" max="10497" width="11.7265625" customWidth="1"/>
    <col min="10498" max="10498" width="4.54296875" customWidth="1"/>
    <col min="10499" max="10499" width="60.1796875" bestFit="1" customWidth="1"/>
    <col min="10500" max="10500" width="19.1796875" bestFit="1" customWidth="1"/>
    <col min="10501" max="10501" width="4.54296875" customWidth="1"/>
    <col min="10502" max="10502" width="16.54296875" bestFit="1" customWidth="1"/>
    <col min="10503" max="10503" width="17.81640625" bestFit="1" customWidth="1"/>
    <col min="10504" max="10504" width="17.453125" bestFit="1" customWidth="1"/>
    <col min="10505" max="10507" width="16.54296875" bestFit="1" customWidth="1"/>
    <col min="10508" max="10508" width="18.453125" bestFit="1" customWidth="1"/>
    <col min="10753" max="10753" width="11.7265625" customWidth="1"/>
    <col min="10754" max="10754" width="4.54296875" customWidth="1"/>
    <col min="10755" max="10755" width="60.1796875" bestFit="1" customWidth="1"/>
    <col min="10756" max="10756" width="19.1796875" bestFit="1" customWidth="1"/>
    <col min="10757" max="10757" width="4.54296875" customWidth="1"/>
    <col min="10758" max="10758" width="16.54296875" bestFit="1" customWidth="1"/>
    <col min="10759" max="10759" width="17.81640625" bestFit="1" customWidth="1"/>
    <col min="10760" max="10760" width="17.453125" bestFit="1" customWidth="1"/>
    <col min="10761" max="10763" width="16.54296875" bestFit="1" customWidth="1"/>
    <col min="10764" max="10764" width="18.453125" bestFit="1" customWidth="1"/>
    <col min="11009" max="11009" width="11.7265625" customWidth="1"/>
    <col min="11010" max="11010" width="4.54296875" customWidth="1"/>
    <col min="11011" max="11011" width="60.1796875" bestFit="1" customWidth="1"/>
    <col min="11012" max="11012" width="19.1796875" bestFit="1" customWidth="1"/>
    <col min="11013" max="11013" width="4.54296875" customWidth="1"/>
    <col min="11014" max="11014" width="16.54296875" bestFit="1" customWidth="1"/>
    <col min="11015" max="11015" width="17.81640625" bestFit="1" customWidth="1"/>
    <col min="11016" max="11016" width="17.453125" bestFit="1" customWidth="1"/>
    <col min="11017" max="11019" width="16.54296875" bestFit="1" customWidth="1"/>
    <col min="11020" max="11020" width="18.453125" bestFit="1" customWidth="1"/>
    <col min="11265" max="11265" width="11.7265625" customWidth="1"/>
    <col min="11266" max="11266" width="4.54296875" customWidth="1"/>
    <col min="11267" max="11267" width="60.1796875" bestFit="1" customWidth="1"/>
    <col min="11268" max="11268" width="19.1796875" bestFit="1" customWidth="1"/>
    <col min="11269" max="11269" width="4.54296875" customWidth="1"/>
    <col min="11270" max="11270" width="16.54296875" bestFit="1" customWidth="1"/>
    <col min="11271" max="11271" width="17.81640625" bestFit="1" customWidth="1"/>
    <col min="11272" max="11272" width="17.453125" bestFit="1" customWidth="1"/>
    <col min="11273" max="11275" width="16.54296875" bestFit="1" customWidth="1"/>
    <col min="11276" max="11276" width="18.453125" bestFit="1" customWidth="1"/>
    <col min="11521" max="11521" width="11.7265625" customWidth="1"/>
    <col min="11522" max="11522" width="4.54296875" customWidth="1"/>
    <col min="11523" max="11523" width="60.1796875" bestFit="1" customWidth="1"/>
    <col min="11524" max="11524" width="19.1796875" bestFit="1" customWidth="1"/>
    <col min="11525" max="11525" width="4.54296875" customWidth="1"/>
    <col min="11526" max="11526" width="16.54296875" bestFit="1" customWidth="1"/>
    <col min="11527" max="11527" width="17.81640625" bestFit="1" customWidth="1"/>
    <col min="11528" max="11528" width="17.453125" bestFit="1" customWidth="1"/>
    <col min="11529" max="11531" width="16.54296875" bestFit="1" customWidth="1"/>
    <col min="11532" max="11532" width="18.453125" bestFit="1" customWidth="1"/>
    <col min="11777" max="11777" width="11.7265625" customWidth="1"/>
    <col min="11778" max="11778" width="4.54296875" customWidth="1"/>
    <col min="11779" max="11779" width="60.1796875" bestFit="1" customWidth="1"/>
    <col min="11780" max="11780" width="19.1796875" bestFit="1" customWidth="1"/>
    <col min="11781" max="11781" width="4.54296875" customWidth="1"/>
    <col min="11782" max="11782" width="16.54296875" bestFit="1" customWidth="1"/>
    <col min="11783" max="11783" width="17.81640625" bestFit="1" customWidth="1"/>
    <col min="11784" max="11784" width="17.453125" bestFit="1" customWidth="1"/>
    <col min="11785" max="11787" width="16.54296875" bestFit="1" customWidth="1"/>
    <col min="11788" max="11788" width="18.453125" bestFit="1" customWidth="1"/>
    <col min="12033" max="12033" width="11.7265625" customWidth="1"/>
    <col min="12034" max="12034" width="4.54296875" customWidth="1"/>
    <col min="12035" max="12035" width="60.1796875" bestFit="1" customWidth="1"/>
    <col min="12036" max="12036" width="19.1796875" bestFit="1" customWidth="1"/>
    <col min="12037" max="12037" width="4.54296875" customWidth="1"/>
    <col min="12038" max="12038" width="16.54296875" bestFit="1" customWidth="1"/>
    <col min="12039" max="12039" width="17.81640625" bestFit="1" customWidth="1"/>
    <col min="12040" max="12040" width="17.453125" bestFit="1" customWidth="1"/>
    <col min="12041" max="12043" width="16.54296875" bestFit="1" customWidth="1"/>
    <col min="12044" max="12044" width="18.453125" bestFit="1" customWidth="1"/>
    <col min="12289" max="12289" width="11.7265625" customWidth="1"/>
    <col min="12290" max="12290" width="4.54296875" customWidth="1"/>
    <col min="12291" max="12291" width="60.1796875" bestFit="1" customWidth="1"/>
    <col min="12292" max="12292" width="19.1796875" bestFit="1" customWidth="1"/>
    <col min="12293" max="12293" width="4.54296875" customWidth="1"/>
    <col min="12294" max="12294" width="16.54296875" bestFit="1" customWidth="1"/>
    <col min="12295" max="12295" width="17.81640625" bestFit="1" customWidth="1"/>
    <col min="12296" max="12296" width="17.453125" bestFit="1" customWidth="1"/>
    <col min="12297" max="12299" width="16.54296875" bestFit="1" customWidth="1"/>
    <col min="12300" max="12300" width="18.453125" bestFit="1" customWidth="1"/>
    <col min="12545" max="12545" width="11.7265625" customWidth="1"/>
    <col min="12546" max="12546" width="4.54296875" customWidth="1"/>
    <col min="12547" max="12547" width="60.1796875" bestFit="1" customWidth="1"/>
    <col min="12548" max="12548" width="19.1796875" bestFit="1" customWidth="1"/>
    <col min="12549" max="12549" width="4.54296875" customWidth="1"/>
    <col min="12550" max="12550" width="16.54296875" bestFit="1" customWidth="1"/>
    <col min="12551" max="12551" width="17.81640625" bestFit="1" customWidth="1"/>
    <col min="12552" max="12552" width="17.453125" bestFit="1" customWidth="1"/>
    <col min="12553" max="12555" width="16.54296875" bestFit="1" customWidth="1"/>
    <col min="12556" max="12556" width="18.453125" bestFit="1" customWidth="1"/>
    <col min="12801" max="12801" width="11.7265625" customWidth="1"/>
    <col min="12802" max="12802" width="4.54296875" customWidth="1"/>
    <col min="12803" max="12803" width="60.1796875" bestFit="1" customWidth="1"/>
    <col min="12804" max="12804" width="19.1796875" bestFit="1" customWidth="1"/>
    <col min="12805" max="12805" width="4.54296875" customWidth="1"/>
    <col min="12806" max="12806" width="16.54296875" bestFit="1" customWidth="1"/>
    <col min="12807" max="12807" width="17.81640625" bestFit="1" customWidth="1"/>
    <col min="12808" max="12808" width="17.453125" bestFit="1" customWidth="1"/>
    <col min="12809" max="12811" width="16.54296875" bestFit="1" customWidth="1"/>
    <col min="12812" max="12812" width="18.453125" bestFit="1" customWidth="1"/>
    <col min="13057" max="13057" width="11.7265625" customWidth="1"/>
    <col min="13058" max="13058" width="4.54296875" customWidth="1"/>
    <col min="13059" max="13059" width="60.1796875" bestFit="1" customWidth="1"/>
    <col min="13060" max="13060" width="19.1796875" bestFit="1" customWidth="1"/>
    <col min="13061" max="13061" width="4.54296875" customWidth="1"/>
    <col min="13062" max="13062" width="16.54296875" bestFit="1" customWidth="1"/>
    <col min="13063" max="13063" width="17.81640625" bestFit="1" customWidth="1"/>
    <col min="13064" max="13064" width="17.453125" bestFit="1" customWidth="1"/>
    <col min="13065" max="13067" width="16.54296875" bestFit="1" customWidth="1"/>
    <col min="13068" max="13068" width="18.453125" bestFit="1" customWidth="1"/>
    <col min="13313" max="13313" width="11.7265625" customWidth="1"/>
    <col min="13314" max="13314" width="4.54296875" customWidth="1"/>
    <col min="13315" max="13315" width="60.1796875" bestFit="1" customWidth="1"/>
    <col min="13316" max="13316" width="19.1796875" bestFit="1" customWidth="1"/>
    <col min="13317" max="13317" width="4.54296875" customWidth="1"/>
    <col min="13318" max="13318" width="16.54296875" bestFit="1" customWidth="1"/>
    <col min="13319" max="13319" width="17.81640625" bestFit="1" customWidth="1"/>
    <col min="13320" max="13320" width="17.453125" bestFit="1" customWidth="1"/>
    <col min="13321" max="13323" width="16.54296875" bestFit="1" customWidth="1"/>
    <col min="13324" max="13324" width="18.453125" bestFit="1" customWidth="1"/>
    <col min="13569" max="13569" width="11.7265625" customWidth="1"/>
    <col min="13570" max="13570" width="4.54296875" customWidth="1"/>
    <col min="13571" max="13571" width="60.1796875" bestFit="1" customWidth="1"/>
    <col min="13572" max="13572" width="19.1796875" bestFit="1" customWidth="1"/>
    <col min="13573" max="13573" width="4.54296875" customWidth="1"/>
    <col min="13574" max="13574" width="16.54296875" bestFit="1" customWidth="1"/>
    <col min="13575" max="13575" width="17.81640625" bestFit="1" customWidth="1"/>
    <col min="13576" max="13576" width="17.453125" bestFit="1" customWidth="1"/>
    <col min="13577" max="13579" width="16.54296875" bestFit="1" customWidth="1"/>
    <col min="13580" max="13580" width="18.453125" bestFit="1" customWidth="1"/>
    <col min="13825" max="13825" width="11.7265625" customWidth="1"/>
    <col min="13826" max="13826" width="4.54296875" customWidth="1"/>
    <col min="13827" max="13827" width="60.1796875" bestFit="1" customWidth="1"/>
    <col min="13828" max="13828" width="19.1796875" bestFit="1" customWidth="1"/>
    <col min="13829" max="13829" width="4.54296875" customWidth="1"/>
    <col min="13830" max="13830" width="16.54296875" bestFit="1" customWidth="1"/>
    <col min="13831" max="13831" width="17.81640625" bestFit="1" customWidth="1"/>
    <col min="13832" max="13832" width="17.453125" bestFit="1" customWidth="1"/>
    <col min="13833" max="13835" width="16.54296875" bestFit="1" customWidth="1"/>
    <col min="13836" max="13836" width="18.453125" bestFit="1" customWidth="1"/>
    <col min="14081" max="14081" width="11.7265625" customWidth="1"/>
    <col min="14082" max="14082" width="4.54296875" customWidth="1"/>
    <col min="14083" max="14083" width="60.1796875" bestFit="1" customWidth="1"/>
    <col min="14084" max="14084" width="19.1796875" bestFit="1" customWidth="1"/>
    <col min="14085" max="14085" width="4.54296875" customWidth="1"/>
    <col min="14086" max="14086" width="16.54296875" bestFit="1" customWidth="1"/>
    <col min="14087" max="14087" width="17.81640625" bestFit="1" customWidth="1"/>
    <col min="14088" max="14088" width="17.453125" bestFit="1" customWidth="1"/>
    <col min="14089" max="14091" width="16.54296875" bestFit="1" customWidth="1"/>
    <col min="14092" max="14092" width="18.453125" bestFit="1" customWidth="1"/>
    <col min="14337" max="14337" width="11.7265625" customWidth="1"/>
    <col min="14338" max="14338" width="4.54296875" customWidth="1"/>
    <col min="14339" max="14339" width="60.1796875" bestFit="1" customWidth="1"/>
    <col min="14340" max="14340" width="19.1796875" bestFit="1" customWidth="1"/>
    <col min="14341" max="14341" width="4.54296875" customWidth="1"/>
    <col min="14342" max="14342" width="16.54296875" bestFit="1" customWidth="1"/>
    <col min="14343" max="14343" width="17.81640625" bestFit="1" customWidth="1"/>
    <col min="14344" max="14344" width="17.453125" bestFit="1" customWidth="1"/>
    <col min="14345" max="14347" width="16.54296875" bestFit="1" customWidth="1"/>
    <col min="14348" max="14348" width="18.453125" bestFit="1" customWidth="1"/>
    <col min="14593" max="14593" width="11.7265625" customWidth="1"/>
    <col min="14594" max="14594" width="4.54296875" customWidth="1"/>
    <col min="14595" max="14595" width="60.1796875" bestFit="1" customWidth="1"/>
    <col min="14596" max="14596" width="19.1796875" bestFit="1" customWidth="1"/>
    <col min="14597" max="14597" width="4.54296875" customWidth="1"/>
    <col min="14598" max="14598" width="16.54296875" bestFit="1" customWidth="1"/>
    <col min="14599" max="14599" width="17.81640625" bestFit="1" customWidth="1"/>
    <col min="14600" max="14600" width="17.453125" bestFit="1" customWidth="1"/>
    <col min="14601" max="14603" width="16.54296875" bestFit="1" customWidth="1"/>
    <col min="14604" max="14604" width="18.453125" bestFit="1" customWidth="1"/>
    <col min="14849" max="14849" width="11.7265625" customWidth="1"/>
    <col min="14850" max="14850" width="4.54296875" customWidth="1"/>
    <col min="14851" max="14851" width="60.1796875" bestFit="1" customWidth="1"/>
    <col min="14852" max="14852" width="19.1796875" bestFit="1" customWidth="1"/>
    <col min="14853" max="14853" width="4.54296875" customWidth="1"/>
    <col min="14854" max="14854" width="16.54296875" bestFit="1" customWidth="1"/>
    <col min="14855" max="14855" width="17.81640625" bestFit="1" customWidth="1"/>
    <col min="14856" max="14856" width="17.453125" bestFit="1" customWidth="1"/>
    <col min="14857" max="14859" width="16.54296875" bestFit="1" customWidth="1"/>
    <col min="14860" max="14860" width="18.453125" bestFit="1" customWidth="1"/>
    <col min="15105" max="15105" width="11.7265625" customWidth="1"/>
    <col min="15106" max="15106" width="4.54296875" customWidth="1"/>
    <col min="15107" max="15107" width="60.1796875" bestFit="1" customWidth="1"/>
    <col min="15108" max="15108" width="19.1796875" bestFit="1" customWidth="1"/>
    <col min="15109" max="15109" width="4.54296875" customWidth="1"/>
    <col min="15110" max="15110" width="16.54296875" bestFit="1" customWidth="1"/>
    <col min="15111" max="15111" width="17.81640625" bestFit="1" customWidth="1"/>
    <col min="15112" max="15112" width="17.453125" bestFit="1" customWidth="1"/>
    <col min="15113" max="15115" width="16.54296875" bestFit="1" customWidth="1"/>
    <col min="15116" max="15116" width="18.453125" bestFit="1" customWidth="1"/>
    <col min="15361" max="15361" width="11.7265625" customWidth="1"/>
    <col min="15362" max="15362" width="4.54296875" customWidth="1"/>
    <col min="15363" max="15363" width="60.1796875" bestFit="1" customWidth="1"/>
    <col min="15364" max="15364" width="19.1796875" bestFit="1" customWidth="1"/>
    <col min="15365" max="15365" width="4.54296875" customWidth="1"/>
    <col min="15366" max="15366" width="16.54296875" bestFit="1" customWidth="1"/>
    <col min="15367" max="15367" width="17.81640625" bestFit="1" customWidth="1"/>
    <col min="15368" max="15368" width="17.453125" bestFit="1" customWidth="1"/>
    <col min="15369" max="15371" width="16.54296875" bestFit="1" customWidth="1"/>
    <col min="15372" max="15372" width="18.453125" bestFit="1" customWidth="1"/>
    <col min="15617" max="15617" width="11.7265625" customWidth="1"/>
    <col min="15618" max="15618" width="4.54296875" customWidth="1"/>
    <col min="15619" max="15619" width="60.1796875" bestFit="1" customWidth="1"/>
    <col min="15620" max="15620" width="19.1796875" bestFit="1" customWidth="1"/>
    <col min="15621" max="15621" width="4.54296875" customWidth="1"/>
    <col min="15622" max="15622" width="16.54296875" bestFit="1" customWidth="1"/>
    <col min="15623" max="15623" width="17.81640625" bestFit="1" customWidth="1"/>
    <col min="15624" max="15624" width="17.453125" bestFit="1" customWidth="1"/>
    <col min="15625" max="15627" width="16.54296875" bestFit="1" customWidth="1"/>
    <col min="15628" max="15628" width="18.453125" bestFit="1" customWidth="1"/>
    <col min="15873" max="15873" width="11.7265625" customWidth="1"/>
    <col min="15874" max="15874" width="4.54296875" customWidth="1"/>
    <col min="15875" max="15875" width="60.1796875" bestFit="1" customWidth="1"/>
    <col min="15876" max="15876" width="19.1796875" bestFit="1" customWidth="1"/>
    <col min="15877" max="15877" width="4.54296875" customWidth="1"/>
    <col min="15878" max="15878" width="16.54296875" bestFit="1" customWidth="1"/>
    <col min="15879" max="15879" width="17.81640625" bestFit="1" customWidth="1"/>
    <col min="15880" max="15880" width="17.453125" bestFit="1" customWidth="1"/>
    <col min="15881" max="15883" width="16.54296875" bestFit="1" customWidth="1"/>
    <col min="15884" max="15884" width="18.453125" bestFit="1" customWidth="1"/>
    <col min="16129" max="16129" width="11.7265625" customWidth="1"/>
    <col min="16130" max="16130" width="4.54296875" customWidth="1"/>
    <col min="16131" max="16131" width="60.1796875" bestFit="1" customWidth="1"/>
    <col min="16132" max="16132" width="19.1796875" bestFit="1" customWidth="1"/>
    <col min="16133" max="16133" width="4.54296875" customWidth="1"/>
    <col min="16134" max="16134" width="16.54296875" bestFit="1" customWidth="1"/>
    <col min="16135" max="16135" width="17.81640625" bestFit="1" customWidth="1"/>
    <col min="16136" max="16136" width="17.453125" bestFit="1" customWidth="1"/>
    <col min="16137" max="16139" width="16.54296875" bestFit="1" customWidth="1"/>
    <col min="16140" max="16140" width="18.453125" bestFit="1" customWidth="1"/>
  </cols>
  <sheetData>
    <row r="1" spans="1:10" ht="15.5" x14ac:dyDescent="0.35">
      <c r="A1" s="1" t="s">
        <v>0</v>
      </c>
      <c r="B1" s="2"/>
      <c r="C1" s="2"/>
      <c r="D1" s="2"/>
    </row>
    <row r="2" spans="1:10" x14ac:dyDescent="0.25">
      <c r="A2" s="2" t="s">
        <v>1</v>
      </c>
      <c r="B2" s="2"/>
      <c r="C2" s="2"/>
      <c r="D2" s="2"/>
      <c r="E2" s="2"/>
      <c r="F2" s="3"/>
      <c r="G2" s="3"/>
      <c r="H2" s="3"/>
      <c r="I2" s="3"/>
      <c r="J2" s="3"/>
    </row>
    <row r="3" spans="1:10" x14ac:dyDescent="0.25">
      <c r="A3" s="2"/>
      <c r="B3" s="2"/>
      <c r="C3" s="2"/>
      <c r="D3" s="2"/>
      <c r="E3" s="2"/>
      <c r="F3" s="3"/>
      <c r="G3" s="4"/>
      <c r="H3" s="4"/>
      <c r="I3" s="3"/>
      <c r="J3" s="3"/>
    </row>
    <row r="4" spans="1:10" x14ac:dyDescent="0.25">
      <c r="A4" s="2" t="s">
        <v>2</v>
      </c>
      <c r="B4" s="2"/>
      <c r="C4" s="2"/>
      <c r="D4" s="2"/>
      <c r="E4" s="2"/>
      <c r="F4" s="5"/>
      <c r="G4" s="3"/>
      <c r="H4" s="3"/>
      <c r="I4" s="3"/>
      <c r="J4" s="3"/>
    </row>
    <row r="5" spans="1:10" x14ac:dyDescent="0.25">
      <c r="A5" s="3"/>
      <c r="B5" s="3"/>
      <c r="C5" s="72">
        <v>46203</v>
      </c>
      <c r="D5" s="2"/>
      <c r="E5" s="2"/>
      <c r="F5" s="5"/>
      <c r="G5" s="3"/>
      <c r="H5" s="3"/>
      <c r="I5" s="3"/>
      <c r="J5" s="3"/>
    </row>
    <row r="6" spans="1:10" x14ac:dyDescent="0.25">
      <c r="A6" s="2" t="s">
        <v>3</v>
      </c>
      <c r="E6" s="3"/>
      <c r="F6" s="5"/>
      <c r="G6" s="3"/>
      <c r="H6" s="3"/>
      <c r="I6" s="3"/>
      <c r="J6" s="3"/>
    </row>
    <row r="7" spans="1:10" x14ac:dyDescent="0.25">
      <c r="A7" s="6"/>
      <c r="B7" s="7"/>
      <c r="C7" s="7"/>
      <c r="D7" s="7" t="s">
        <v>4</v>
      </c>
      <c r="E7" s="6"/>
      <c r="F7" s="8" t="s">
        <v>5</v>
      </c>
      <c r="G7" s="6" t="s">
        <v>6</v>
      </c>
      <c r="H7" s="9" t="s">
        <v>7</v>
      </c>
      <c r="I7" s="6" t="s">
        <v>8</v>
      </c>
      <c r="J7" s="10" t="s">
        <v>9</v>
      </c>
    </row>
    <row r="8" spans="1:10" x14ac:dyDescent="0.25">
      <c r="A8" s="11" t="s">
        <v>10</v>
      </c>
      <c r="B8" s="12" t="s">
        <v>11</v>
      </c>
      <c r="C8" s="12" t="s">
        <v>12</v>
      </c>
      <c r="D8" s="12" t="s">
        <v>13</v>
      </c>
      <c r="E8" s="13" t="s">
        <v>14</v>
      </c>
      <c r="F8" s="14" t="s">
        <v>15</v>
      </c>
      <c r="G8" s="11" t="s">
        <v>16</v>
      </c>
      <c r="H8" s="15" t="s">
        <v>17</v>
      </c>
      <c r="I8" s="11" t="s">
        <v>18</v>
      </c>
      <c r="J8" s="16"/>
    </row>
    <row r="9" spans="1:10" x14ac:dyDescent="0.25">
      <c r="A9" s="17"/>
      <c r="B9" s="18"/>
      <c r="C9" s="19" t="s">
        <v>19</v>
      </c>
      <c r="D9" s="20">
        <v>5606827.7000000002</v>
      </c>
      <c r="E9" s="21">
        <v>0.1</v>
      </c>
      <c r="F9" s="20">
        <f>56068277/10</f>
        <v>5606827.7000000002</v>
      </c>
      <c r="G9" s="22"/>
      <c r="H9" s="20">
        <v>5606827.7000000002</v>
      </c>
      <c r="I9" s="20">
        <f>D9-H9</f>
        <v>0</v>
      </c>
      <c r="J9" s="20"/>
    </row>
    <row r="10" spans="1:10" x14ac:dyDescent="0.25">
      <c r="A10" s="17">
        <v>39084</v>
      </c>
      <c r="B10" s="18"/>
      <c r="C10" s="18" t="s">
        <v>20</v>
      </c>
      <c r="D10" s="22">
        <v>106000</v>
      </c>
      <c r="E10" s="21">
        <v>0.1</v>
      </c>
      <c r="F10" s="22">
        <f>1060000/10</f>
        <v>106000</v>
      </c>
      <c r="G10" s="22"/>
      <c r="H10" s="22">
        <v>106000</v>
      </c>
      <c r="I10" s="20">
        <f>D10-H10</f>
        <v>0</v>
      </c>
      <c r="J10" s="20"/>
    </row>
    <row r="11" spans="1:10" x14ac:dyDescent="0.25">
      <c r="A11" s="17">
        <v>39106</v>
      </c>
      <c r="B11" s="18"/>
      <c r="C11" s="18" t="s">
        <v>21</v>
      </c>
      <c r="D11" s="22">
        <v>40000</v>
      </c>
      <c r="E11" s="21">
        <v>0.1</v>
      </c>
      <c r="F11" s="22">
        <f>400000/10</f>
        <v>40000</v>
      </c>
      <c r="G11" s="22"/>
      <c r="H11" s="22">
        <v>40000</v>
      </c>
      <c r="I11" s="20">
        <f>D11-H11</f>
        <v>0</v>
      </c>
      <c r="J11" s="20"/>
    </row>
    <row r="12" spans="1:10" x14ac:dyDescent="0.25">
      <c r="A12" s="17">
        <v>39122</v>
      </c>
      <c r="B12" s="23"/>
      <c r="C12" s="18" t="s">
        <v>22</v>
      </c>
      <c r="D12" s="22">
        <v>82500</v>
      </c>
      <c r="E12" s="21">
        <v>0.1</v>
      </c>
      <c r="F12" s="22">
        <f>825000/10</f>
        <v>82500</v>
      </c>
      <c r="G12" s="22"/>
      <c r="H12" s="22">
        <v>82500</v>
      </c>
      <c r="I12" s="20">
        <f>D12-H12</f>
        <v>0</v>
      </c>
      <c r="J12" s="20"/>
    </row>
    <row r="13" spans="1:10" x14ac:dyDescent="0.25">
      <c r="A13" s="24">
        <v>39447</v>
      </c>
      <c r="B13" s="25"/>
      <c r="C13" s="26" t="s">
        <v>23</v>
      </c>
      <c r="D13" s="27">
        <f t="shared" ref="D13:E13" si="0">SUM(D9:D12)</f>
        <v>5835327.7000000002</v>
      </c>
      <c r="E13" s="27">
        <f t="shared" si="0"/>
        <v>0.4</v>
      </c>
      <c r="F13" s="27">
        <f>SUM(F9:F12)</f>
        <v>5835327.7000000002</v>
      </c>
      <c r="G13" s="27">
        <f t="shared" ref="G13:J13" si="1">SUM(G9:G12)</f>
        <v>0</v>
      </c>
      <c r="H13" s="27">
        <f t="shared" si="1"/>
        <v>5835327.7000000002</v>
      </c>
      <c r="I13" s="27">
        <f t="shared" si="1"/>
        <v>0</v>
      </c>
      <c r="J13" s="27">
        <f t="shared" si="1"/>
        <v>0</v>
      </c>
    </row>
    <row r="14" spans="1:10" x14ac:dyDescent="0.25">
      <c r="A14" s="29"/>
      <c r="B14" s="30"/>
      <c r="C14" s="31"/>
      <c r="D14" s="31"/>
      <c r="E14" s="32"/>
      <c r="F14" s="33"/>
      <c r="G14" s="33"/>
      <c r="H14" s="33"/>
      <c r="I14" s="33"/>
      <c r="J14" s="33"/>
    </row>
    <row r="15" spans="1:10" x14ac:dyDescent="0.25">
      <c r="A15" s="24">
        <v>39448</v>
      </c>
      <c r="B15" s="25"/>
      <c r="C15" s="26" t="s">
        <v>23</v>
      </c>
      <c r="D15" s="34">
        <f>+D13</f>
        <v>5835327.7000000002</v>
      </c>
      <c r="E15" s="28"/>
      <c r="F15" s="27">
        <f>F13</f>
        <v>5835327.7000000002</v>
      </c>
      <c r="G15" s="27">
        <f>G13</f>
        <v>0</v>
      </c>
      <c r="H15" s="27">
        <f>H13</f>
        <v>5835327.7000000002</v>
      </c>
      <c r="I15" s="27">
        <f>I13</f>
        <v>0</v>
      </c>
      <c r="J15" s="27"/>
    </row>
    <row r="16" spans="1:10" x14ac:dyDescent="0.25">
      <c r="A16" s="35">
        <v>39720</v>
      </c>
      <c r="B16" s="23"/>
      <c r="C16" s="36" t="s">
        <v>24</v>
      </c>
      <c r="D16" s="37">
        <v>91600</v>
      </c>
      <c r="E16" s="21">
        <v>0.1</v>
      </c>
      <c r="F16" s="38">
        <v>91600</v>
      </c>
      <c r="G16" s="38"/>
      <c r="H16" s="38">
        <v>91600</v>
      </c>
      <c r="I16" s="22">
        <f>D16-H16</f>
        <v>0</v>
      </c>
      <c r="J16" s="22"/>
    </row>
    <row r="17" spans="1:10" x14ac:dyDescent="0.25">
      <c r="A17" s="35">
        <v>39462</v>
      </c>
      <c r="B17" s="23"/>
      <c r="C17" s="36" t="s">
        <v>25</v>
      </c>
      <c r="D17" s="37">
        <v>186815</v>
      </c>
      <c r="E17" s="21">
        <v>0.1</v>
      </c>
      <c r="F17" s="38">
        <v>186815</v>
      </c>
      <c r="G17" s="38"/>
      <c r="H17" s="38">
        <v>186815</v>
      </c>
      <c r="I17" s="22">
        <f>D17-H17</f>
        <v>0</v>
      </c>
      <c r="J17" s="22"/>
    </row>
    <row r="18" spans="1:10" x14ac:dyDescent="0.25">
      <c r="A18" s="35">
        <v>39588</v>
      </c>
      <c r="B18" s="23"/>
      <c r="C18" s="36" t="s">
        <v>26</v>
      </c>
      <c r="D18" s="37">
        <v>413076</v>
      </c>
      <c r="E18" s="21">
        <v>0.1</v>
      </c>
      <c r="F18" s="38">
        <v>413076</v>
      </c>
      <c r="G18" s="38"/>
      <c r="H18" s="38">
        <v>413076</v>
      </c>
      <c r="I18" s="22">
        <f>D18-H18</f>
        <v>0</v>
      </c>
      <c r="J18" s="22"/>
    </row>
    <row r="19" spans="1:10" x14ac:dyDescent="0.25">
      <c r="A19" s="35">
        <v>39736</v>
      </c>
      <c r="B19" s="23"/>
      <c r="C19" s="36" t="s">
        <v>27</v>
      </c>
      <c r="D19" s="37">
        <v>435480</v>
      </c>
      <c r="E19" s="21">
        <v>0.1</v>
      </c>
      <c r="F19" s="38">
        <v>435480</v>
      </c>
      <c r="G19" s="38"/>
      <c r="H19" s="38">
        <v>435480</v>
      </c>
      <c r="I19" s="22">
        <f>D19-H19</f>
        <v>0</v>
      </c>
      <c r="J19" s="22"/>
    </row>
    <row r="20" spans="1:10" x14ac:dyDescent="0.25">
      <c r="A20" s="39">
        <v>39813</v>
      </c>
      <c r="B20" s="40"/>
      <c r="C20" s="41" t="s">
        <v>28</v>
      </c>
      <c r="D20" s="27">
        <f t="shared" ref="D20:E20" si="2">SUM(D15:D19)</f>
        <v>6962298.7000000002</v>
      </c>
      <c r="E20" s="27">
        <f t="shared" si="2"/>
        <v>0.4</v>
      </c>
      <c r="F20" s="27">
        <f>SUM(F15:F19)</f>
        <v>6962298.7000000002</v>
      </c>
      <c r="G20" s="27">
        <f t="shared" ref="G20:J20" si="3">SUM(G15:G19)</f>
        <v>0</v>
      </c>
      <c r="H20" s="27">
        <f t="shared" si="3"/>
        <v>6962298.7000000002</v>
      </c>
      <c r="I20" s="27">
        <f t="shared" si="3"/>
        <v>0</v>
      </c>
      <c r="J20" s="27">
        <f t="shared" si="3"/>
        <v>0</v>
      </c>
    </row>
    <row r="22" spans="1:10" x14ac:dyDescent="0.25">
      <c r="A22" s="24">
        <v>39814</v>
      </c>
      <c r="B22" s="25"/>
      <c r="C22" s="41" t="s">
        <v>29</v>
      </c>
      <c r="D22" s="27">
        <f>D20</f>
        <v>6962298.7000000002</v>
      </c>
      <c r="E22" s="28"/>
      <c r="F22" s="27">
        <f>F20</f>
        <v>6962298.7000000002</v>
      </c>
      <c r="G22" s="27">
        <f t="shared" ref="G22:H22" si="4">G20</f>
        <v>0</v>
      </c>
      <c r="H22" s="27">
        <f t="shared" si="4"/>
        <v>6962298.7000000002</v>
      </c>
      <c r="I22" s="27">
        <f>I20</f>
        <v>0</v>
      </c>
      <c r="J22" s="27"/>
    </row>
    <row r="23" spans="1:10" x14ac:dyDescent="0.25">
      <c r="A23" s="35">
        <v>39868</v>
      </c>
      <c r="B23" s="23">
        <v>1</v>
      </c>
      <c r="C23" s="36" t="s">
        <v>30</v>
      </c>
      <c r="D23" s="37">
        <v>25500</v>
      </c>
      <c r="E23" s="21">
        <v>0.1</v>
      </c>
      <c r="F23" s="22">
        <v>25500</v>
      </c>
      <c r="G23" s="22"/>
      <c r="H23" s="22">
        <f t="shared" ref="H23:H31" si="5">G23+F23</f>
        <v>25500</v>
      </c>
      <c r="I23" s="22">
        <f>D23-H23</f>
        <v>0</v>
      </c>
      <c r="J23" s="22"/>
    </row>
    <row r="24" spans="1:10" x14ac:dyDescent="0.25">
      <c r="A24" s="35">
        <v>39891</v>
      </c>
      <c r="B24" s="23">
        <v>1</v>
      </c>
      <c r="C24" s="36" t="s">
        <v>31</v>
      </c>
      <c r="D24" s="37">
        <v>30900</v>
      </c>
      <c r="E24" s="21">
        <v>0.1</v>
      </c>
      <c r="F24" s="22">
        <v>30900</v>
      </c>
      <c r="G24" s="22"/>
      <c r="H24" s="22">
        <f t="shared" si="5"/>
        <v>30900</v>
      </c>
      <c r="I24" s="22">
        <f t="shared" ref="I24:I31" si="6">D24-H24</f>
        <v>0</v>
      </c>
      <c r="J24" s="22"/>
    </row>
    <row r="25" spans="1:10" x14ac:dyDescent="0.25">
      <c r="A25" s="35">
        <v>39932</v>
      </c>
      <c r="B25" s="23">
        <v>1</v>
      </c>
      <c r="C25" s="36" t="s">
        <v>32</v>
      </c>
      <c r="D25" s="37">
        <v>11500</v>
      </c>
      <c r="E25" s="21">
        <v>0.1</v>
      </c>
      <c r="F25" s="22">
        <v>11500</v>
      </c>
      <c r="G25" s="22"/>
      <c r="H25" s="22">
        <f t="shared" si="5"/>
        <v>11500</v>
      </c>
      <c r="I25" s="22">
        <f t="shared" si="6"/>
        <v>0</v>
      </c>
      <c r="J25" s="22"/>
    </row>
    <row r="26" spans="1:10" x14ac:dyDescent="0.25">
      <c r="A26" s="35">
        <v>39989</v>
      </c>
      <c r="B26" s="23">
        <v>2</v>
      </c>
      <c r="C26" s="36" t="s">
        <v>33</v>
      </c>
      <c r="D26" s="37">
        <v>11852</v>
      </c>
      <c r="E26" s="21">
        <v>0.1</v>
      </c>
      <c r="F26" s="22">
        <v>11852</v>
      </c>
      <c r="G26" s="22"/>
      <c r="H26" s="22">
        <f t="shared" si="5"/>
        <v>11852</v>
      </c>
      <c r="I26" s="22">
        <f t="shared" si="6"/>
        <v>0</v>
      </c>
      <c r="J26" s="22"/>
    </row>
    <row r="27" spans="1:10" x14ac:dyDescent="0.25">
      <c r="A27" s="35">
        <v>39989</v>
      </c>
      <c r="B27" s="23">
        <v>3</v>
      </c>
      <c r="C27" s="36" t="s">
        <v>34</v>
      </c>
      <c r="D27" s="37">
        <v>3600</v>
      </c>
      <c r="E27" s="21">
        <v>0.1</v>
      </c>
      <c r="F27" s="22">
        <v>3600</v>
      </c>
      <c r="G27" s="22"/>
      <c r="H27" s="22">
        <f t="shared" si="5"/>
        <v>3600</v>
      </c>
      <c r="I27" s="22">
        <f t="shared" si="6"/>
        <v>0</v>
      </c>
      <c r="J27" s="22"/>
    </row>
    <row r="28" spans="1:10" x14ac:dyDescent="0.25">
      <c r="A28" s="35">
        <v>40017</v>
      </c>
      <c r="B28" s="23">
        <v>1</v>
      </c>
      <c r="C28" s="36" t="s">
        <v>35</v>
      </c>
      <c r="D28" s="37">
        <v>65000</v>
      </c>
      <c r="E28" s="21">
        <v>0.1</v>
      </c>
      <c r="F28" s="22">
        <v>65000</v>
      </c>
      <c r="G28" s="22"/>
      <c r="H28" s="22">
        <f t="shared" si="5"/>
        <v>65000</v>
      </c>
      <c r="I28" s="22">
        <f t="shared" si="6"/>
        <v>0</v>
      </c>
      <c r="J28" s="22"/>
    </row>
    <row r="29" spans="1:10" x14ac:dyDescent="0.25">
      <c r="A29" s="35">
        <v>40056</v>
      </c>
      <c r="B29" s="23">
        <v>1</v>
      </c>
      <c r="C29" s="36" t="s">
        <v>36</v>
      </c>
      <c r="D29" s="37">
        <v>5500</v>
      </c>
      <c r="E29" s="21">
        <v>0.1</v>
      </c>
      <c r="F29" s="22">
        <v>5500</v>
      </c>
      <c r="G29" s="22"/>
      <c r="H29" s="22">
        <f t="shared" si="5"/>
        <v>5500</v>
      </c>
      <c r="I29" s="22">
        <f t="shared" si="6"/>
        <v>0</v>
      </c>
      <c r="J29" s="22"/>
    </row>
    <row r="30" spans="1:10" x14ac:dyDescent="0.25">
      <c r="A30" s="35">
        <v>40037</v>
      </c>
      <c r="B30" s="23">
        <v>1</v>
      </c>
      <c r="C30" s="36" t="s">
        <v>37</v>
      </c>
      <c r="D30" s="37">
        <v>13500</v>
      </c>
      <c r="E30" s="21">
        <v>0.1</v>
      </c>
      <c r="F30" s="22">
        <v>13500</v>
      </c>
      <c r="G30" s="22"/>
      <c r="H30" s="22">
        <f t="shared" si="5"/>
        <v>13500</v>
      </c>
      <c r="I30" s="22">
        <f t="shared" si="6"/>
        <v>0</v>
      </c>
      <c r="J30" s="22"/>
    </row>
    <row r="31" spans="1:10" x14ac:dyDescent="0.25">
      <c r="A31" s="35">
        <v>29</v>
      </c>
      <c r="B31" s="23">
        <v>6</v>
      </c>
      <c r="C31" s="36" t="s">
        <v>38</v>
      </c>
      <c r="D31" s="37">
        <v>84000</v>
      </c>
      <c r="E31" s="21">
        <v>0.1</v>
      </c>
      <c r="F31" s="22">
        <v>84000</v>
      </c>
      <c r="G31" s="22"/>
      <c r="H31" s="22">
        <f t="shared" si="5"/>
        <v>84000</v>
      </c>
      <c r="I31" s="22">
        <f t="shared" si="6"/>
        <v>0</v>
      </c>
      <c r="J31" s="22"/>
    </row>
    <row r="32" spans="1:10" x14ac:dyDescent="0.25">
      <c r="A32" s="39">
        <v>40178</v>
      </c>
      <c r="B32" s="40"/>
      <c r="C32" s="41" t="s">
        <v>39</v>
      </c>
      <c r="D32" s="27">
        <f>SUM(D22:D31)</f>
        <v>7213650.7000000002</v>
      </c>
      <c r="E32" s="28">
        <v>0.1</v>
      </c>
      <c r="F32" s="27">
        <f>SUM(F22:F31)</f>
        <v>7213650.7000000002</v>
      </c>
      <c r="G32" s="27">
        <f t="shared" ref="G32:H32" si="7">SUM(G22:G31)</f>
        <v>0</v>
      </c>
      <c r="H32" s="27">
        <f t="shared" si="7"/>
        <v>7213650.7000000002</v>
      </c>
      <c r="I32" s="27">
        <f>SUM(I22:I31)</f>
        <v>0</v>
      </c>
      <c r="J32" s="27"/>
    </row>
    <row r="34" spans="1:10" ht="13" x14ac:dyDescent="0.3">
      <c r="A34" s="42">
        <v>40179</v>
      </c>
      <c r="B34" s="43"/>
      <c r="C34" s="43" t="s">
        <v>40</v>
      </c>
      <c r="D34" s="44">
        <f>D32</f>
        <v>7213650.7000000002</v>
      </c>
      <c r="E34" s="45">
        <v>0.1</v>
      </c>
      <c r="F34" s="44">
        <f>F32</f>
        <v>7213650.7000000002</v>
      </c>
      <c r="G34" s="44">
        <f t="shared" ref="G34:H34" si="8">G32</f>
        <v>0</v>
      </c>
      <c r="H34" s="44">
        <f t="shared" si="8"/>
        <v>7213650.7000000002</v>
      </c>
      <c r="I34" s="44">
        <f>I32</f>
        <v>0</v>
      </c>
      <c r="J34" s="44"/>
    </row>
    <row r="35" spans="1:10" x14ac:dyDescent="0.25">
      <c r="A35" s="46">
        <v>40252</v>
      </c>
      <c r="B35" s="47"/>
      <c r="C35" s="47" t="s">
        <v>41</v>
      </c>
      <c r="D35" s="38">
        <v>25500</v>
      </c>
      <c r="E35" s="21">
        <v>0.1</v>
      </c>
      <c r="F35" s="48">
        <v>25500</v>
      </c>
      <c r="G35" s="38"/>
      <c r="H35" s="38">
        <f>F35+G35</f>
        <v>25500</v>
      </c>
      <c r="I35" s="38">
        <f>D35-H35</f>
        <v>0</v>
      </c>
      <c r="J35" s="38"/>
    </row>
    <row r="36" spans="1:10" x14ac:dyDescent="0.25">
      <c r="A36" s="46">
        <v>40266</v>
      </c>
      <c r="B36" s="47">
        <v>3</v>
      </c>
      <c r="C36" s="47" t="s">
        <v>42</v>
      </c>
      <c r="D36" s="38">
        <v>42000</v>
      </c>
      <c r="E36" s="21">
        <v>0.1</v>
      </c>
      <c r="F36" s="48">
        <v>42000</v>
      </c>
      <c r="G36" s="38"/>
      <c r="H36" s="38">
        <f>F36+G36</f>
        <v>42000</v>
      </c>
      <c r="I36" s="38">
        <f>D36-H36</f>
        <v>0</v>
      </c>
      <c r="J36" s="38"/>
    </row>
    <row r="37" spans="1:10" x14ac:dyDescent="0.25">
      <c r="A37" s="46">
        <v>40436</v>
      </c>
      <c r="B37" s="47">
        <v>1</v>
      </c>
      <c r="C37" s="47" t="s">
        <v>43</v>
      </c>
      <c r="D37" s="38">
        <v>25000</v>
      </c>
      <c r="E37" s="21">
        <v>0.1</v>
      </c>
      <c r="F37" s="48">
        <v>25000</v>
      </c>
      <c r="G37" s="38"/>
      <c r="H37" s="38">
        <f>F37+G37</f>
        <v>25000</v>
      </c>
      <c r="I37" s="38">
        <f>D37-H37</f>
        <v>0</v>
      </c>
      <c r="J37" s="38"/>
    </row>
    <row r="38" spans="1:10" ht="13" x14ac:dyDescent="0.3">
      <c r="A38" s="42">
        <v>40543</v>
      </c>
      <c r="B38" s="43"/>
      <c r="C38" s="43" t="s">
        <v>44</v>
      </c>
      <c r="D38" s="44">
        <f>SUM(D34:D37)</f>
        <v>7306150.7000000002</v>
      </c>
      <c r="E38" s="45">
        <v>0.1</v>
      </c>
      <c r="F38" s="44">
        <f>SUM(F34:F37)</f>
        <v>7306150.7000000002</v>
      </c>
      <c r="G38" s="44">
        <f t="shared" ref="G38:H38" si="9">SUM(G34:G37)</f>
        <v>0</v>
      </c>
      <c r="H38" s="44">
        <f t="shared" si="9"/>
        <v>7306150.7000000002</v>
      </c>
      <c r="I38" s="44">
        <f>SUM(I34:I37)</f>
        <v>0</v>
      </c>
      <c r="J38" s="44"/>
    </row>
    <row r="40" spans="1:10" x14ac:dyDescent="0.25">
      <c r="D40" s="49"/>
    </row>
    <row r="41" spans="1:10" x14ac:dyDescent="0.25">
      <c r="D41" s="49"/>
    </row>
    <row r="42" spans="1:10" x14ac:dyDescent="0.25">
      <c r="D42" s="49"/>
    </row>
    <row r="43" spans="1:10" x14ac:dyDescent="0.25">
      <c r="D43" s="49"/>
    </row>
    <row r="44" spans="1:10" x14ac:dyDescent="0.25">
      <c r="D44" s="49"/>
    </row>
    <row r="45" spans="1:10" x14ac:dyDescent="0.25">
      <c r="D45" s="49"/>
    </row>
    <row r="50" spans="1:10" ht="13" x14ac:dyDescent="0.3">
      <c r="A50" s="42">
        <v>40544</v>
      </c>
      <c r="B50" s="43"/>
      <c r="C50" s="43" t="s">
        <v>45</v>
      </c>
      <c r="D50" s="44">
        <f>D38</f>
        <v>7306150.7000000002</v>
      </c>
      <c r="E50" s="45">
        <v>0.1</v>
      </c>
      <c r="F50" s="44">
        <f>F38</f>
        <v>7306150.7000000002</v>
      </c>
      <c r="G50" s="44">
        <f t="shared" ref="G50:H50" si="10">G38</f>
        <v>0</v>
      </c>
      <c r="H50" s="44">
        <f t="shared" si="10"/>
        <v>7306150.7000000002</v>
      </c>
      <c r="I50" s="44">
        <f>I38</f>
        <v>0</v>
      </c>
      <c r="J50" s="44"/>
    </row>
    <row r="51" spans="1:10" x14ac:dyDescent="0.25">
      <c r="A51" s="46">
        <v>40707</v>
      </c>
      <c r="B51" s="47">
        <v>2</v>
      </c>
      <c r="C51" s="50" t="s">
        <v>46</v>
      </c>
      <c r="D51" s="48">
        <v>30000</v>
      </c>
      <c r="E51" s="21">
        <v>0.1</v>
      </c>
      <c r="F51" s="48">
        <v>30000</v>
      </c>
      <c r="G51" s="38">
        <v>0</v>
      </c>
      <c r="H51" s="38">
        <f t="shared" ref="H51:H60" si="11">G51+F51</f>
        <v>30000</v>
      </c>
      <c r="I51" s="38">
        <f t="shared" ref="I51:I60" si="12">D51-H51</f>
        <v>0</v>
      </c>
      <c r="J51" s="38"/>
    </row>
    <row r="52" spans="1:10" x14ac:dyDescent="0.25">
      <c r="A52" s="46">
        <v>40660</v>
      </c>
      <c r="B52" s="47">
        <v>2</v>
      </c>
      <c r="C52" s="47" t="s">
        <v>47</v>
      </c>
      <c r="D52" s="48">
        <v>4450</v>
      </c>
      <c r="E52" s="21">
        <v>0.1</v>
      </c>
      <c r="F52" s="48">
        <v>4450</v>
      </c>
      <c r="G52" s="38">
        <v>0</v>
      </c>
      <c r="H52" s="38">
        <f t="shared" si="11"/>
        <v>4450</v>
      </c>
      <c r="I52" s="38">
        <f t="shared" si="12"/>
        <v>0</v>
      </c>
      <c r="J52" s="38"/>
    </row>
    <row r="53" spans="1:10" x14ac:dyDescent="0.25">
      <c r="A53" s="46">
        <v>40772</v>
      </c>
      <c r="B53" s="47">
        <v>4</v>
      </c>
      <c r="C53" s="47" t="s">
        <v>48</v>
      </c>
      <c r="D53" s="48">
        <v>160000</v>
      </c>
      <c r="E53" s="21">
        <v>0.1</v>
      </c>
      <c r="F53" s="48">
        <v>160000.003</v>
      </c>
      <c r="G53" s="38">
        <v>0</v>
      </c>
      <c r="H53" s="38">
        <f t="shared" si="11"/>
        <v>160000.003</v>
      </c>
      <c r="I53" s="38">
        <f t="shared" si="12"/>
        <v>-2.9999999969732016E-3</v>
      </c>
      <c r="J53" s="38"/>
    </row>
    <row r="54" spans="1:10" x14ac:dyDescent="0.25">
      <c r="A54" s="46">
        <v>40699</v>
      </c>
      <c r="B54" s="47">
        <v>1</v>
      </c>
      <c r="C54" s="47" t="s">
        <v>49</v>
      </c>
      <c r="D54" s="48">
        <v>12500</v>
      </c>
      <c r="E54" s="21">
        <v>0.1</v>
      </c>
      <c r="F54" s="48">
        <v>12499.996999999999</v>
      </c>
      <c r="G54" s="38">
        <v>0</v>
      </c>
      <c r="H54" s="38">
        <f t="shared" si="11"/>
        <v>12499.996999999999</v>
      </c>
      <c r="I54" s="38">
        <f t="shared" si="12"/>
        <v>3.0000000006111804E-3</v>
      </c>
      <c r="J54" s="38"/>
    </row>
    <row r="55" spans="1:10" x14ac:dyDescent="0.25">
      <c r="A55" s="46">
        <v>40804</v>
      </c>
      <c r="B55" s="47">
        <v>2</v>
      </c>
      <c r="C55" s="47" t="s">
        <v>50</v>
      </c>
      <c r="D55" s="48">
        <v>5550</v>
      </c>
      <c r="E55" s="21">
        <v>0.1</v>
      </c>
      <c r="F55" s="48">
        <v>5550</v>
      </c>
      <c r="G55" s="38">
        <v>0</v>
      </c>
      <c r="H55" s="38">
        <f t="shared" si="11"/>
        <v>5550</v>
      </c>
      <c r="I55" s="38">
        <f t="shared" si="12"/>
        <v>0</v>
      </c>
      <c r="J55" s="38"/>
    </row>
    <row r="56" spans="1:10" x14ac:dyDescent="0.25">
      <c r="A56" s="46">
        <v>40794</v>
      </c>
      <c r="B56" s="47"/>
      <c r="C56" s="47" t="s">
        <v>51</v>
      </c>
      <c r="D56" s="48">
        <v>30000</v>
      </c>
      <c r="E56" s="21">
        <v>0.1</v>
      </c>
      <c r="F56" s="48">
        <v>30000</v>
      </c>
      <c r="G56" s="38">
        <v>0</v>
      </c>
      <c r="H56" s="38">
        <f t="shared" si="11"/>
        <v>30000</v>
      </c>
      <c r="I56" s="38">
        <f t="shared" si="12"/>
        <v>0</v>
      </c>
      <c r="J56" s="38"/>
    </row>
    <row r="57" spans="1:10" x14ac:dyDescent="0.25">
      <c r="A57" s="46">
        <v>40738</v>
      </c>
      <c r="B57" s="47">
        <v>1</v>
      </c>
      <c r="C57" s="47" t="s">
        <v>52</v>
      </c>
      <c r="D57" s="48">
        <v>12500</v>
      </c>
      <c r="E57" s="21">
        <v>0.1</v>
      </c>
      <c r="F57" s="48">
        <v>12500</v>
      </c>
      <c r="G57" s="38">
        <v>0</v>
      </c>
      <c r="H57" s="38">
        <f t="shared" si="11"/>
        <v>12500</v>
      </c>
      <c r="I57" s="38">
        <f t="shared" si="12"/>
        <v>0</v>
      </c>
      <c r="J57" s="38"/>
    </row>
    <row r="58" spans="1:10" x14ac:dyDescent="0.25">
      <c r="A58" s="46">
        <v>40819</v>
      </c>
      <c r="B58" s="47"/>
      <c r="C58" s="47" t="s">
        <v>53</v>
      </c>
      <c r="D58" s="48">
        <v>32000</v>
      </c>
      <c r="E58" s="21">
        <v>0.1</v>
      </c>
      <c r="F58" s="48">
        <v>32000</v>
      </c>
      <c r="G58" s="38">
        <v>0</v>
      </c>
      <c r="H58" s="38">
        <f t="shared" si="11"/>
        <v>32000</v>
      </c>
      <c r="I58" s="38">
        <f t="shared" si="12"/>
        <v>0</v>
      </c>
      <c r="J58" s="38"/>
    </row>
    <row r="59" spans="1:10" x14ac:dyDescent="0.25">
      <c r="A59" s="46">
        <v>40818</v>
      </c>
      <c r="B59" s="47"/>
      <c r="C59" s="47" t="s">
        <v>54</v>
      </c>
      <c r="D59" s="48">
        <v>32000</v>
      </c>
      <c r="E59" s="21">
        <v>0.1</v>
      </c>
      <c r="F59" s="48">
        <v>32000</v>
      </c>
      <c r="G59" s="38">
        <v>0</v>
      </c>
      <c r="H59" s="38">
        <f t="shared" si="11"/>
        <v>32000</v>
      </c>
      <c r="I59" s="38">
        <f t="shared" si="12"/>
        <v>0</v>
      </c>
      <c r="J59" s="38"/>
    </row>
    <row r="60" spans="1:10" x14ac:dyDescent="0.25">
      <c r="A60" s="46">
        <v>40786</v>
      </c>
      <c r="B60" s="47">
        <v>5</v>
      </c>
      <c r="C60" s="47" t="s">
        <v>55</v>
      </c>
      <c r="D60" s="48">
        <v>-168400</v>
      </c>
      <c r="E60" s="21">
        <v>0.1</v>
      </c>
      <c r="F60" s="48">
        <v>-168400</v>
      </c>
      <c r="G60" s="38">
        <v>0</v>
      </c>
      <c r="H60" s="38">
        <f t="shared" si="11"/>
        <v>-168400</v>
      </c>
      <c r="I60" s="38">
        <f t="shared" si="12"/>
        <v>0</v>
      </c>
      <c r="J60" s="38"/>
    </row>
    <row r="61" spans="1:10" ht="13" x14ac:dyDescent="0.3">
      <c r="A61" s="42">
        <v>40908</v>
      </c>
      <c r="B61" s="43"/>
      <c r="C61" s="43" t="s">
        <v>56</v>
      </c>
      <c r="D61" s="44">
        <f>SUM(D50:D60)</f>
        <v>7456750.7000000002</v>
      </c>
      <c r="E61" s="45">
        <v>0.1</v>
      </c>
      <c r="F61" s="44">
        <f>SUM(F50:F60)</f>
        <v>7456750.7000000002</v>
      </c>
      <c r="G61" s="44">
        <f t="shared" ref="G61:H61" si="13">SUM(G50:G60)</f>
        <v>0</v>
      </c>
      <c r="H61" s="44">
        <f t="shared" si="13"/>
        <v>7456750.7000000002</v>
      </c>
      <c r="I61" s="44">
        <f>SUM(I50:I60)</f>
        <v>3.637978807091713E-12</v>
      </c>
      <c r="J61" s="44"/>
    </row>
    <row r="63" spans="1:10" ht="13" x14ac:dyDescent="0.3">
      <c r="A63" s="42">
        <v>40909</v>
      </c>
      <c r="B63" s="43"/>
      <c r="C63" s="43" t="s">
        <v>57</v>
      </c>
      <c r="D63" s="44">
        <f>D61</f>
        <v>7456750.7000000002</v>
      </c>
      <c r="E63" s="45">
        <v>0.1</v>
      </c>
      <c r="F63" s="44">
        <f>F61</f>
        <v>7456750.7000000002</v>
      </c>
      <c r="G63" s="44">
        <f t="shared" ref="G63:H63" si="14">G61</f>
        <v>0</v>
      </c>
      <c r="H63" s="44">
        <f t="shared" si="14"/>
        <v>7456750.7000000002</v>
      </c>
      <c r="I63" s="44">
        <f>I61</f>
        <v>3.637978807091713E-12</v>
      </c>
      <c r="J63" s="44"/>
    </row>
    <row r="64" spans="1:10" x14ac:dyDescent="0.25">
      <c r="A64" s="46">
        <v>41044</v>
      </c>
      <c r="B64" s="47">
        <v>2</v>
      </c>
      <c r="C64" s="50" t="s">
        <v>58</v>
      </c>
      <c r="D64" s="48">
        <v>14500</v>
      </c>
      <c r="E64" s="21">
        <v>0.1</v>
      </c>
      <c r="F64" s="51">
        <v>14500</v>
      </c>
      <c r="G64" s="38">
        <v>0</v>
      </c>
      <c r="H64" s="38">
        <f t="shared" ref="H64:H74" si="15">G64+F64</f>
        <v>14500</v>
      </c>
      <c r="I64" s="38">
        <f t="shared" ref="I64:I74" si="16">D64-H64</f>
        <v>0</v>
      </c>
      <c r="J64" s="38"/>
    </row>
    <row r="65" spans="1:10" x14ac:dyDescent="0.25">
      <c r="A65" s="46">
        <v>41053</v>
      </c>
      <c r="B65" s="47"/>
      <c r="C65" s="47" t="s">
        <v>59</v>
      </c>
      <c r="D65" s="48">
        <v>800000</v>
      </c>
      <c r="E65" s="21">
        <v>0.1</v>
      </c>
      <c r="F65" s="51">
        <v>800000</v>
      </c>
      <c r="G65" s="38">
        <v>0</v>
      </c>
      <c r="H65" s="38">
        <f t="shared" si="15"/>
        <v>800000</v>
      </c>
      <c r="I65" s="38">
        <f t="shared" si="16"/>
        <v>0</v>
      </c>
      <c r="J65" s="38"/>
    </row>
    <row r="66" spans="1:10" x14ac:dyDescent="0.25">
      <c r="A66" s="46">
        <v>41072</v>
      </c>
      <c r="B66" s="47">
        <v>2</v>
      </c>
      <c r="C66" s="47" t="s">
        <v>60</v>
      </c>
      <c r="D66" s="48">
        <v>20000</v>
      </c>
      <c r="E66" s="21">
        <v>0.1</v>
      </c>
      <c r="F66" s="51">
        <v>20000</v>
      </c>
      <c r="G66" s="38">
        <v>0</v>
      </c>
      <c r="H66" s="38">
        <f t="shared" si="15"/>
        <v>20000</v>
      </c>
      <c r="I66" s="38">
        <f t="shared" si="16"/>
        <v>0</v>
      </c>
      <c r="J66" s="38"/>
    </row>
    <row r="67" spans="1:10" x14ac:dyDescent="0.25">
      <c r="A67" s="46">
        <v>41072</v>
      </c>
      <c r="B67" s="47">
        <v>2</v>
      </c>
      <c r="C67" s="47" t="s">
        <v>61</v>
      </c>
      <c r="D67" s="48">
        <v>40000</v>
      </c>
      <c r="E67" s="21">
        <v>0.1</v>
      </c>
      <c r="F67" s="51">
        <v>40000</v>
      </c>
      <c r="G67" s="38">
        <v>0</v>
      </c>
      <c r="H67" s="38">
        <f t="shared" si="15"/>
        <v>40000</v>
      </c>
      <c r="I67" s="38">
        <f t="shared" si="16"/>
        <v>0</v>
      </c>
      <c r="J67" s="38"/>
    </row>
    <row r="68" spans="1:10" x14ac:dyDescent="0.25">
      <c r="A68" s="46">
        <v>41121</v>
      </c>
      <c r="B68" s="47">
        <v>12</v>
      </c>
      <c r="C68" s="47" t="s">
        <v>62</v>
      </c>
      <c r="D68" s="48">
        <v>81600</v>
      </c>
      <c r="E68" s="21">
        <v>0.1</v>
      </c>
      <c r="F68" s="51">
        <v>81600</v>
      </c>
      <c r="G68" s="38">
        <v>0</v>
      </c>
      <c r="H68" s="38">
        <f t="shared" si="15"/>
        <v>81600</v>
      </c>
      <c r="I68" s="38">
        <f t="shared" si="16"/>
        <v>0</v>
      </c>
      <c r="J68" s="38"/>
    </row>
    <row r="69" spans="1:10" x14ac:dyDescent="0.25">
      <c r="A69" s="46">
        <v>41182</v>
      </c>
      <c r="B69" s="47">
        <v>3</v>
      </c>
      <c r="C69" s="47" t="s">
        <v>55</v>
      </c>
      <c r="D69" s="48">
        <v>-100000</v>
      </c>
      <c r="E69" s="21">
        <v>0.1</v>
      </c>
      <c r="F69" s="51">
        <v>-100000</v>
      </c>
      <c r="G69" s="38">
        <v>0</v>
      </c>
      <c r="H69" s="38">
        <f t="shared" si="15"/>
        <v>-100000</v>
      </c>
      <c r="I69" s="38">
        <f t="shared" si="16"/>
        <v>0</v>
      </c>
      <c r="J69" s="38"/>
    </row>
    <row r="70" spans="1:10" x14ac:dyDescent="0.25">
      <c r="A70" s="46">
        <v>41165</v>
      </c>
      <c r="B70" s="47">
        <v>86</v>
      </c>
      <c r="C70" s="47" t="s">
        <v>63</v>
      </c>
      <c r="D70" s="48">
        <v>30000</v>
      </c>
      <c r="E70" s="21">
        <v>0.1</v>
      </c>
      <c r="F70" s="51">
        <v>30000</v>
      </c>
      <c r="G70" s="38">
        <v>0</v>
      </c>
      <c r="H70" s="38">
        <f t="shared" si="15"/>
        <v>30000</v>
      </c>
      <c r="I70" s="38">
        <f t="shared" si="16"/>
        <v>0</v>
      </c>
      <c r="J70" s="38"/>
    </row>
    <row r="71" spans="1:10" x14ac:dyDescent="0.25">
      <c r="A71" s="46">
        <v>41160</v>
      </c>
      <c r="B71" s="47">
        <v>1</v>
      </c>
      <c r="C71" s="47" t="s">
        <v>64</v>
      </c>
      <c r="D71" s="48">
        <v>1030000</v>
      </c>
      <c r="E71" s="21">
        <v>0.1</v>
      </c>
      <c r="F71" s="51">
        <v>1030000</v>
      </c>
      <c r="G71" s="38">
        <v>0</v>
      </c>
      <c r="H71" s="38">
        <f t="shared" si="15"/>
        <v>1030000</v>
      </c>
      <c r="I71" s="38">
        <f t="shared" si="16"/>
        <v>0</v>
      </c>
      <c r="J71" s="38"/>
    </row>
    <row r="72" spans="1:10" x14ac:dyDescent="0.25">
      <c r="A72" s="46">
        <v>41192</v>
      </c>
      <c r="B72" s="47">
        <v>1</v>
      </c>
      <c r="C72" s="47" t="s">
        <v>65</v>
      </c>
      <c r="D72" s="48">
        <v>30000</v>
      </c>
      <c r="E72" s="21">
        <v>0.1</v>
      </c>
      <c r="F72" s="51">
        <v>30000</v>
      </c>
      <c r="G72" s="38">
        <v>0</v>
      </c>
      <c r="H72" s="38">
        <f t="shared" si="15"/>
        <v>30000</v>
      </c>
      <c r="I72" s="38">
        <f t="shared" si="16"/>
        <v>0</v>
      </c>
      <c r="J72" s="38"/>
    </row>
    <row r="73" spans="1:10" x14ac:dyDescent="0.25">
      <c r="A73" s="46">
        <v>41193</v>
      </c>
      <c r="B73" s="47">
        <v>1</v>
      </c>
      <c r="C73" s="47" t="s">
        <v>66</v>
      </c>
      <c r="D73" s="48">
        <v>15000</v>
      </c>
      <c r="E73" s="21">
        <v>0.1</v>
      </c>
      <c r="F73" s="51">
        <v>15000</v>
      </c>
      <c r="G73" s="38">
        <v>0</v>
      </c>
      <c r="H73" s="38">
        <f t="shared" si="15"/>
        <v>15000</v>
      </c>
      <c r="I73" s="38">
        <f t="shared" si="16"/>
        <v>0</v>
      </c>
      <c r="J73" s="38"/>
    </row>
    <row r="74" spans="1:10" x14ac:dyDescent="0.25">
      <c r="A74" s="46">
        <v>41269</v>
      </c>
      <c r="B74" s="47">
        <v>1</v>
      </c>
      <c r="C74" s="47" t="s">
        <v>67</v>
      </c>
      <c r="D74" s="48">
        <v>3220</v>
      </c>
      <c r="E74" s="21">
        <v>0.1</v>
      </c>
      <c r="F74" s="51">
        <v>3220</v>
      </c>
      <c r="G74" s="38">
        <v>0</v>
      </c>
      <c r="H74" s="38">
        <f t="shared" si="15"/>
        <v>3220</v>
      </c>
      <c r="I74" s="38">
        <f t="shared" si="16"/>
        <v>0</v>
      </c>
      <c r="J74" s="38"/>
    </row>
    <row r="75" spans="1:10" ht="13" x14ac:dyDescent="0.3">
      <c r="A75" s="42">
        <v>41274</v>
      </c>
      <c r="B75" s="43"/>
      <c r="C75" s="43" t="s">
        <v>68</v>
      </c>
      <c r="D75" s="44">
        <f>SUM(D63:D74)</f>
        <v>9421070.6999999993</v>
      </c>
      <c r="E75" s="45">
        <v>0.1</v>
      </c>
      <c r="F75" s="44">
        <f>SUM(F63:F74)</f>
        <v>9421070.6999999993</v>
      </c>
      <c r="G75" s="44">
        <f>SUM(G63:G74)</f>
        <v>0</v>
      </c>
      <c r="H75" s="44">
        <f>SUM(H63:H74)</f>
        <v>9421070.6999999993</v>
      </c>
      <c r="I75" s="44">
        <f>SUM(I63:I74)</f>
        <v>3.637978807091713E-12</v>
      </c>
      <c r="J75" s="44"/>
    </row>
    <row r="77" spans="1:10" ht="13" x14ac:dyDescent="0.3">
      <c r="A77" s="42">
        <v>41275</v>
      </c>
      <c r="B77" s="43"/>
      <c r="C77" s="43" t="s">
        <v>69</v>
      </c>
      <c r="D77" s="44">
        <f>D75</f>
        <v>9421070.6999999993</v>
      </c>
      <c r="E77" s="45">
        <v>0.1</v>
      </c>
      <c r="F77" s="44">
        <f>F75</f>
        <v>9421070.6999999993</v>
      </c>
      <c r="G77" s="44">
        <f>G75</f>
        <v>0</v>
      </c>
      <c r="H77" s="44">
        <f>H75</f>
        <v>9421070.6999999993</v>
      </c>
      <c r="I77" s="44">
        <f>I75</f>
        <v>3.637978807091713E-12</v>
      </c>
      <c r="J77" s="44"/>
    </row>
    <row r="78" spans="1:10" x14ac:dyDescent="0.25">
      <c r="A78" s="46">
        <v>41308</v>
      </c>
      <c r="B78" s="47">
        <v>1</v>
      </c>
      <c r="C78" s="50" t="s">
        <v>70</v>
      </c>
      <c r="D78" s="48">
        <v>953364.8</v>
      </c>
      <c r="E78" s="21">
        <v>0.1</v>
      </c>
      <c r="F78" s="51">
        <v>953364.8</v>
      </c>
      <c r="G78" s="38"/>
      <c r="H78" s="38">
        <f>G78+F78</f>
        <v>953364.8</v>
      </c>
      <c r="I78" s="38">
        <f t="shared" ref="I78:I91" si="17">D78-H78</f>
        <v>0</v>
      </c>
      <c r="J78" s="38"/>
    </row>
    <row r="79" spans="1:10" x14ac:dyDescent="0.25">
      <c r="A79" s="46">
        <v>41415</v>
      </c>
      <c r="B79" s="47">
        <v>1</v>
      </c>
      <c r="C79" s="47" t="s">
        <v>71</v>
      </c>
      <c r="D79" s="48">
        <v>16800</v>
      </c>
      <c r="E79" s="21">
        <v>0.1</v>
      </c>
      <c r="F79" s="51">
        <v>16800</v>
      </c>
      <c r="G79" s="38"/>
      <c r="H79" s="38">
        <f t="shared" ref="H79:H91" si="18">G79+F79</f>
        <v>16800</v>
      </c>
      <c r="I79" s="38">
        <f t="shared" si="17"/>
        <v>0</v>
      </c>
      <c r="J79" s="38"/>
    </row>
    <row r="80" spans="1:10" x14ac:dyDescent="0.25">
      <c r="A80" s="46">
        <v>41431</v>
      </c>
      <c r="B80" s="47">
        <v>1</v>
      </c>
      <c r="C80" s="47" t="s">
        <v>72</v>
      </c>
      <c r="D80" s="48">
        <v>18000</v>
      </c>
      <c r="E80" s="21">
        <v>0.1</v>
      </c>
      <c r="F80" s="51">
        <v>18000</v>
      </c>
      <c r="G80" s="38"/>
      <c r="H80" s="38">
        <f t="shared" si="18"/>
        <v>18000</v>
      </c>
      <c r="I80" s="38">
        <f t="shared" si="17"/>
        <v>0</v>
      </c>
      <c r="J80" s="38"/>
    </row>
    <row r="81" spans="1:10" x14ac:dyDescent="0.25">
      <c r="A81" s="46">
        <v>41442</v>
      </c>
      <c r="B81" s="47">
        <v>1</v>
      </c>
      <c r="C81" s="47" t="s">
        <v>72</v>
      </c>
      <c r="D81" s="48">
        <v>19500</v>
      </c>
      <c r="E81" s="21">
        <v>0.1</v>
      </c>
      <c r="F81" s="51">
        <v>19500</v>
      </c>
      <c r="G81" s="38"/>
      <c r="H81" s="38">
        <f t="shared" si="18"/>
        <v>19500</v>
      </c>
      <c r="I81" s="38">
        <f t="shared" si="17"/>
        <v>0</v>
      </c>
      <c r="J81" s="38"/>
    </row>
    <row r="82" spans="1:10" x14ac:dyDescent="0.25">
      <c r="A82" s="46">
        <v>41477</v>
      </c>
      <c r="B82" s="47">
        <v>1</v>
      </c>
      <c r="C82" s="50" t="s">
        <v>70</v>
      </c>
      <c r="D82" s="48">
        <v>935871.5</v>
      </c>
      <c r="E82" s="21">
        <v>0.1</v>
      </c>
      <c r="F82" s="51">
        <v>935871.5</v>
      </c>
      <c r="G82" s="38"/>
      <c r="H82" s="38">
        <f t="shared" si="18"/>
        <v>935871.5</v>
      </c>
      <c r="I82" s="38">
        <f t="shared" si="17"/>
        <v>0</v>
      </c>
      <c r="J82" s="38"/>
    </row>
    <row r="83" spans="1:10" x14ac:dyDescent="0.25">
      <c r="A83" s="46">
        <v>41514</v>
      </c>
      <c r="B83" s="52">
        <v>1</v>
      </c>
      <c r="C83" s="53" t="s">
        <v>73</v>
      </c>
      <c r="D83" s="48">
        <v>84000</v>
      </c>
      <c r="E83" s="21">
        <v>0.1</v>
      </c>
      <c r="F83" s="51">
        <v>84000</v>
      </c>
      <c r="G83" s="38"/>
      <c r="H83" s="38">
        <f t="shared" si="18"/>
        <v>84000</v>
      </c>
      <c r="I83" s="38">
        <f t="shared" si="17"/>
        <v>0</v>
      </c>
      <c r="J83" s="38"/>
    </row>
    <row r="84" spans="1:10" x14ac:dyDescent="0.25">
      <c r="A84" s="46">
        <v>41525</v>
      </c>
      <c r="B84" s="47">
        <v>2</v>
      </c>
      <c r="C84" s="47" t="s">
        <v>72</v>
      </c>
      <c r="D84" s="48">
        <v>51000</v>
      </c>
      <c r="E84" s="21">
        <v>0.1</v>
      </c>
      <c r="F84" s="51">
        <v>51000</v>
      </c>
      <c r="G84" s="38"/>
      <c r="H84" s="38">
        <f t="shared" si="18"/>
        <v>51000</v>
      </c>
      <c r="I84" s="38">
        <f t="shared" si="17"/>
        <v>0</v>
      </c>
      <c r="J84" s="38"/>
    </row>
    <row r="85" spans="1:10" x14ac:dyDescent="0.25">
      <c r="A85" s="46">
        <v>41529</v>
      </c>
      <c r="B85" s="47">
        <v>1</v>
      </c>
      <c r="C85" s="47" t="s">
        <v>74</v>
      </c>
      <c r="D85" s="48">
        <v>49860</v>
      </c>
      <c r="E85" s="21">
        <v>0.1</v>
      </c>
      <c r="F85" s="51">
        <v>49860</v>
      </c>
      <c r="G85" s="38"/>
      <c r="H85" s="38">
        <f t="shared" si="18"/>
        <v>49860</v>
      </c>
      <c r="I85" s="38">
        <f t="shared" si="17"/>
        <v>0</v>
      </c>
      <c r="J85" s="38"/>
    </row>
    <row r="86" spans="1:10" x14ac:dyDescent="0.25">
      <c r="A86" s="46">
        <v>41539</v>
      </c>
      <c r="B86" s="47">
        <v>1</v>
      </c>
      <c r="C86" s="47" t="s">
        <v>71</v>
      </c>
      <c r="D86" s="48">
        <v>20200</v>
      </c>
      <c r="E86" s="21">
        <v>0.1</v>
      </c>
      <c r="F86" s="51">
        <v>20200</v>
      </c>
      <c r="G86" s="38"/>
      <c r="H86" s="38">
        <f t="shared" si="18"/>
        <v>20200</v>
      </c>
      <c r="I86" s="38">
        <f t="shared" si="17"/>
        <v>0</v>
      </c>
      <c r="J86" s="38"/>
    </row>
    <row r="87" spans="1:10" x14ac:dyDescent="0.25">
      <c r="A87" s="46">
        <v>41539</v>
      </c>
      <c r="B87" s="47">
        <v>1</v>
      </c>
      <c r="C87" s="47" t="s">
        <v>71</v>
      </c>
      <c r="D87" s="48">
        <v>31000</v>
      </c>
      <c r="E87" s="21">
        <v>0.1</v>
      </c>
      <c r="F87" s="51">
        <v>31000</v>
      </c>
      <c r="G87" s="38"/>
      <c r="H87" s="38">
        <f t="shared" si="18"/>
        <v>31000</v>
      </c>
      <c r="I87" s="38">
        <f t="shared" si="17"/>
        <v>0</v>
      </c>
      <c r="J87" s="38"/>
    </row>
    <row r="88" spans="1:10" x14ac:dyDescent="0.25">
      <c r="A88" s="46">
        <v>41546</v>
      </c>
      <c r="B88" s="47">
        <v>1</v>
      </c>
      <c r="C88" s="47" t="s">
        <v>75</v>
      </c>
      <c r="D88" s="48">
        <v>37200</v>
      </c>
      <c r="E88" s="21">
        <v>0.1</v>
      </c>
      <c r="F88" s="51">
        <v>37200</v>
      </c>
      <c r="G88" s="38"/>
      <c r="H88" s="38">
        <f t="shared" si="18"/>
        <v>37200</v>
      </c>
      <c r="I88" s="38">
        <f t="shared" si="17"/>
        <v>0</v>
      </c>
      <c r="J88" s="38"/>
    </row>
    <row r="89" spans="1:10" x14ac:dyDescent="0.25">
      <c r="A89" s="46">
        <v>41571</v>
      </c>
      <c r="B89" s="47">
        <v>1</v>
      </c>
      <c r="C89" s="47" t="s">
        <v>76</v>
      </c>
      <c r="D89" s="48">
        <v>460000</v>
      </c>
      <c r="E89" s="21">
        <v>0.1</v>
      </c>
      <c r="F89" s="51">
        <v>460000</v>
      </c>
      <c r="G89" s="38"/>
      <c r="H89" s="38">
        <f t="shared" si="18"/>
        <v>460000</v>
      </c>
      <c r="I89" s="38">
        <f t="shared" si="17"/>
        <v>0</v>
      </c>
      <c r="J89" s="38"/>
    </row>
    <row r="90" spans="1:10" x14ac:dyDescent="0.25">
      <c r="A90" s="46">
        <v>41588</v>
      </c>
      <c r="B90" s="47">
        <v>1</v>
      </c>
      <c r="C90" s="47" t="s">
        <v>77</v>
      </c>
      <c r="D90" s="48">
        <v>110010</v>
      </c>
      <c r="E90" s="21">
        <v>0.1</v>
      </c>
      <c r="F90" s="51">
        <v>110010</v>
      </c>
      <c r="G90" s="38"/>
      <c r="H90" s="38">
        <f t="shared" si="18"/>
        <v>110010</v>
      </c>
      <c r="I90" s="38">
        <f t="shared" si="17"/>
        <v>0</v>
      </c>
      <c r="J90" s="38"/>
    </row>
    <row r="91" spans="1:10" x14ac:dyDescent="0.25">
      <c r="A91" s="46">
        <v>41637</v>
      </c>
      <c r="B91" s="47"/>
      <c r="C91" s="47" t="s">
        <v>78</v>
      </c>
      <c r="D91" s="48">
        <v>160800</v>
      </c>
      <c r="E91" s="21">
        <v>0.1</v>
      </c>
      <c r="F91" s="51">
        <v>160800</v>
      </c>
      <c r="G91" s="38"/>
      <c r="H91" s="38">
        <f t="shared" si="18"/>
        <v>160800</v>
      </c>
      <c r="I91" s="38">
        <f t="shared" si="17"/>
        <v>0</v>
      </c>
      <c r="J91" s="38"/>
    </row>
    <row r="92" spans="1:10" ht="13" x14ac:dyDescent="0.3">
      <c r="A92" s="42">
        <v>41639</v>
      </c>
      <c r="B92" s="43"/>
      <c r="C92" s="43" t="s">
        <v>79</v>
      </c>
      <c r="D92" s="44">
        <f>SUM(D77:D91)</f>
        <v>12368677</v>
      </c>
      <c r="E92" s="45">
        <v>0.1</v>
      </c>
      <c r="F92" s="44">
        <f>SUM(F77:F91)</f>
        <v>12368677</v>
      </c>
      <c r="G92" s="44">
        <f t="shared" ref="G92:H92" si="19">SUM(G77:G91)</f>
        <v>0</v>
      </c>
      <c r="H92" s="44">
        <f t="shared" si="19"/>
        <v>12368677</v>
      </c>
      <c r="I92" s="44">
        <f>SUM(I77:I91)</f>
        <v>3.637978807091713E-12</v>
      </c>
      <c r="J92" s="44"/>
    </row>
    <row r="93" spans="1:10" ht="13" x14ac:dyDescent="0.3">
      <c r="A93" s="54"/>
      <c r="B93" s="55"/>
      <c r="C93" s="55"/>
      <c r="D93" s="56"/>
      <c r="E93" s="57"/>
      <c r="F93" s="56"/>
      <c r="G93" s="56"/>
      <c r="H93" s="56"/>
      <c r="I93" s="56"/>
      <c r="J93" s="56"/>
    </row>
    <row r="94" spans="1:10" ht="13" x14ac:dyDescent="0.3">
      <c r="A94" s="54"/>
      <c r="B94" s="55"/>
      <c r="C94" s="55"/>
      <c r="D94" s="56"/>
      <c r="E94" s="57"/>
      <c r="F94" s="56"/>
      <c r="G94" s="56"/>
      <c r="H94" s="56"/>
      <c r="I94" s="56"/>
      <c r="J94" s="56"/>
    </row>
    <row r="95" spans="1:10" ht="13" x14ac:dyDescent="0.3">
      <c r="A95" s="54"/>
      <c r="B95" s="55"/>
      <c r="C95" s="55"/>
      <c r="D95" s="56"/>
      <c r="E95" s="57"/>
      <c r="F95" s="56"/>
      <c r="G95" s="56"/>
      <c r="H95" s="56"/>
      <c r="I95" s="56"/>
      <c r="J95" s="56"/>
    </row>
    <row r="96" spans="1:10" ht="13" x14ac:dyDescent="0.3">
      <c r="A96" s="54"/>
      <c r="B96" s="55"/>
      <c r="C96" s="55"/>
      <c r="D96" s="56"/>
      <c r="E96" s="57"/>
      <c r="F96" s="56"/>
      <c r="G96" s="56"/>
      <c r="H96" s="56"/>
      <c r="I96" s="56"/>
      <c r="J96" s="56"/>
    </row>
    <row r="97" spans="1:10" ht="13" x14ac:dyDescent="0.3">
      <c r="A97" s="54"/>
      <c r="B97" s="55"/>
      <c r="C97" s="55"/>
      <c r="D97" s="56"/>
      <c r="E97" s="57"/>
      <c r="F97" s="56"/>
      <c r="G97" s="56"/>
      <c r="H97" s="56"/>
      <c r="I97" s="56"/>
      <c r="J97" s="56"/>
    </row>
    <row r="99" spans="1:10" ht="13" x14ac:dyDescent="0.3">
      <c r="A99" s="42">
        <v>41640</v>
      </c>
      <c r="B99" s="43"/>
      <c r="C99" s="43" t="s">
        <v>80</v>
      </c>
      <c r="D99" s="44">
        <f>D92</f>
        <v>12368677</v>
      </c>
      <c r="E99" s="45">
        <v>0.1</v>
      </c>
      <c r="F99" s="44">
        <f>F92</f>
        <v>12368677</v>
      </c>
      <c r="G99" s="44">
        <f t="shared" ref="G99:H99" si="20">G92</f>
        <v>0</v>
      </c>
      <c r="H99" s="44">
        <f t="shared" si="20"/>
        <v>12368677</v>
      </c>
      <c r="I99" s="44">
        <f>I92</f>
        <v>3.637978807091713E-12</v>
      </c>
      <c r="J99" s="44"/>
    </row>
    <row r="100" spans="1:10" x14ac:dyDescent="0.25">
      <c r="A100" s="46">
        <v>41689</v>
      </c>
      <c r="B100" s="47">
        <v>1</v>
      </c>
      <c r="C100" s="50" t="s">
        <v>81</v>
      </c>
      <c r="D100" s="48">
        <v>58800</v>
      </c>
      <c r="E100" s="21">
        <v>0.1</v>
      </c>
      <c r="F100" s="38">
        <v>58800</v>
      </c>
      <c r="G100" s="38"/>
      <c r="H100" s="38">
        <f>F100+G100</f>
        <v>58800</v>
      </c>
      <c r="I100" s="38">
        <f t="shared" ref="I100:I119" si="21">D100-H100</f>
        <v>0</v>
      </c>
      <c r="J100" s="38"/>
    </row>
    <row r="101" spans="1:10" x14ac:dyDescent="0.25">
      <c r="A101" s="46">
        <v>41710</v>
      </c>
      <c r="B101" s="47">
        <v>15</v>
      </c>
      <c r="C101" s="50" t="s">
        <v>78</v>
      </c>
      <c r="D101" s="48">
        <v>193500</v>
      </c>
      <c r="E101" s="21">
        <v>0.1</v>
      </c>
      <c r="F101" s="38">
        <v>193500</v>
      </c>
      <c r="G101" s="38"/>
      <c r="H101" s="38">
        <f t="shared" ref="H101:H119" si="22">F101+G101</f>
        <v>193500</v>
      </c>
      <c r="I101" s="38">
        <f t="shared" si="21"/>
        <v>0</v>
      </c>
      <c r="J101" s="38"/>
    </row>
    <row r="102" spans="1:10" x14ac:dyDescent="0.25">
      <c r="A102" s="46">
        <v>41717</v>
      </c>
      <c r="B102" s="47">
        <v>2</v>
      </c>
      <c r="C102" s="50" t="s">
        <v>82</v>
      </c>
      <c r="D102" s="48">
        <v>10500</v>
      </c>
      <c r="E102" s="21">
        <v>0.1</v>
      </c>
      <c r="F102" s="38">
        <v>10500</v>
      </c>
      <c r="G102" s="38"/>
      <c r="H102" s="38">
        <f t="shared" si="22"/>
        <v>10500</v>
      </c>
      <c r="I102" s="38">
        <f t="shared" si="21"/>
        <v>0</v>
      </c>
      <c r="J102" s="38"/>
    </row>
    <row r="103" spans="1:10" x14ac:dyDescent="0.25">
      <c r="A103" s="46">
        <v>41743</v>
      </c>
      <c r="B103" s="47">
        <v>9</v>
      </c>
      <c r="C103" s="47" t="s">
        <v>83</v>
      </c>
      <c r="D103" s="48">
        <v>162000</v>
      </c>
      <c r="E103" s="21">
        <v>0.1</v>
      </c>
      <c r="F103" s="38">
        <v>162000</v>
      </c>
      <c r="G103" s="38"/>
      <c r="H103" s="38">
        <f t="shared" si="22"/>
        <v>162000</v>
      </c>
      <c r="I103" s="38">
        <f t="shared" si="21"/>
        <v>0</v>
      </c>
      <c r="J103" s="38"/>
    </row>
    <row r="104" spans="1:10" x14ac:dyDescent="0.25">
      <c r="A104" s="46">
        <v>41744</v>
      </c>
      <c r="B104" s="47">
        <v>1</v>
      </c>
      <c r="C104" s="47" t="s">
        <v>84</v>
      </c>
      <c r="D104" s="48">
        <v>17000</v>
      </c>
      <c r="E104" s="21">
        <v>0.1</v>
      </c>
      <c r="F104" s="38">
        <v>17000</v>
      </c>
      <c r="G104" s="38"/>
      <c r="H104" s="38">
        <f t="shared" si="22"/>
        <v>17000</v>
      </c>
      <c r="I104" s="38">
        <f t="shared" si="21"/>
        <v>0</v>
      </c>
      <c r="J104" s="38"/>
    </row>
    <row r="105" spans="1:10" x14ac:dyDescent="0.25">
      <c r="A105" s="46">
        <v>41751</v>
      </c>
      <c r="B105" s="52">
        <v>1</v>
      </c>
      <c r="C105" s="47" t="s">
        <v>85</v>
      </c>
      <c r="D105" s="48">
        <v>33000</v>
      </c>
      <c r="E105" s="21">
        <v>0.1</v>
      </c>
      <c r="F105" s="38">
        <v>33000</v>
      </c>
      <c r="G105" s="38"/>
      <c r="H105" s="38">
        <f t="shared" si="22"/>
        <v>33000</v>
      </c>
      <c r="I105" s="38">
        <f t="shared" si="21"/>
        <v>0</v>
      </c>
      <c r="J105" s="38"/>
    </row>
    <row r="106" spans="1:10" x14ac:dyDescent="0.25">
      <c r="A106" s="46">
        <v>41764</v>
      </c>
      <c r="B106" s="47">
        <v>2</v>
      </c>
      <c r="C106" s="47" t="s">
        <v>86</v>
      </c>
      <c r="D106" s="48">
        <v>1080000</v>
      </c>
      <c r="E106" s="21">
        <v>0.1</v>
      </c>
      <c r="F106" s="38">
        <v>1080000</v>
      </c>
      <c r="G106" s="38"/>
      <c r="H106" s="38">
        <f t="shared" si="22"/>
        <v>1080000</v>
      </c>
      <c r="I106" s="38">
        <f t="shared" si="21"/>
        <v>0</v>
      </c>
      <c r="J106" s="38"/>
    </row>
    <row r="107" spans="1:10" x14ac:dyDescent="0.25">
      <c r="A107" s="46">
        <v>41766</v>
      </c>
      <c r="B107" s="47">
        <v>5</v>
      </c>
      <c r="C107" s="47" t="s">
        <v>87</v>
      </c>
      <c r="D107" s="48">
        <v>69000</v>
      </c>
      <c r="E107" s="21">
        <v>0.1</v>
      </c>
      <c r="F107" s="38">
        <v>69000</v>
      </c>
      <c r="G107" s="38"/>
      <c r="H107" s="38">
        <f t="shared" si="22"/>
        <v>69000</v>
      </c>
      <c r="I107" s="38">
        <f t="shared" si="21"/>
        <v>0</v>
      </c>
      <c r="J107" s="38"/>
    </row>
    <row r="108" spans="1:10" x14ac:dyDescent="0.25">
      <c r="A108" s="46">
        <v>41772</v>
      </c>
      <c r="B108" s="47">
        <v>1</v>
      </c>
      <c r="C108" s="47" t="s">
        <v>88</v>
      </c>
      <c r="D108" s="48">
        <v>20500</v>
      </c>
      <c r="E108" s="21">
        <v>0.1</v>
      </c>
      <c r="F108" s="38">
        <v>20500</v>
      </c>
      <c r="G108" s="38"/>
      <c r="H108" s="38">
        <f t="shared" si="22"/>
        <v>20500</v>
      </c>
      <c r="I108" s="38">
        <f t="shared" si="21"/>
        <v>0</v>
      </c>
      <c r="J108" s="38"/>
    </row>
    <row r="109" spans="1:10" x14ac:dyDescent="0.25">
      <c r="A109" s="46">
        <v>41780</v>
      </c>
      <c r="B109" s="47">
        <v>1</v>
      </c>
      <c r="C109" s="47" t="s">
        <v>89</v>
      </c>
      <c r="D109" s="48">
        <v>26000</v>
      </c>
      <c r="E109" s="21">
        <v>0.1</v>
      </c>
      <c r="F109" s="38">
        <v>26000</v>
      </c>
      <c r="G109" s="38"/>
      <c r="H109" s="38">
        <f t="shared" si="22"/>
        <v>26000</v>
      </c>
      <c r="I109" s="38">
        <f t="shared" si="21"/>
        <v>0</v>
      </c>
      <c r="J109" s="38"/>
    </row>
    <row r="110" spans="1:10" x14ac:dyDescent="0.25">
      <c r="A110" s="46">
        <v>41791</v>
      </c>
      <c r="B110" s="47">
        <v>1</v>
      </c>
      <c r="C110" s="47" t="s">
        <v>90</v>
      </c>
      <c r="D110" s="48">
        <v>23000</v>
      </c>
      <c r="E110" s="21">
        <v>0.1</v>
      </c>
      <c r="F110" s="38">
        <v>23000</v>
      </c>
      <c r="G110" s="38"/>
      <c r="H110" s="38">
        <f t="shared" si="22"/>
        <v>23000</v>
      </c>
      <c r="I110" s="38">
        <f t="shared" si="21"/>
        <v>0</v>
      </c>
      <c r="J110" s="38"/>
    </row>
    <row r="111" spans="1:10" x14ac:dyDescent="0.25">
      <c r="A111" s="46">
        <v>41793</v>
      </c>
      <c r="B111" s="47">
        <v>2</v>
      </c>
      <c r="C111" s="47" t="s">
        <v>90</v>
      </c>
      <c r="D111" s="48">
        <v>46000</v>
      </c>
      <c r="E111" s="21">
        <v>0.1</v>
      </c>
      <c r="F111" s="38">
        <v>46000</v>
      </c>
      <c r="G111" s="38"/>
      <c r="H111" s="38">
        <f t="shared" si="22"/>
        <v>46000</v>
      </c>
      <c r="I111" s="38">
        <f t="shared" si="21"/>
        <v>0</v>
      </c>
      <c r="J111" s="38"/>
    </row>
    <row r="112" spans="1:10" x14ac:dyDescent="0.25">
      <c r="A112" s="46">
        <v>41829</v>
      </c>
      <c r="B112" s="47">
        <v>6</v>
      </c>
      <c r="C112" s="47" t="s">
        <v>91</v>
      </c>
      <c r="D112" s="48">
        <v>80500</v>
      </c>
      <c r="E112" s="21">
        <v>0.1</v>
      </c>
      <c r="F112" s="38">
        <v>80500</v>
      </c>
      <c r="G112" s="38"/>
      <c r="H112" s="38">
        <f t="shared" si="22"/>
        <v>80500</v>
      </c>
      <c r="I112" s="38">
        <f t="shared" si="21"/>
        <v>0</v>
      </c>
      <c r="J112" s="38"/>
    </row>
    <row r="113" spans="1:10" x14ac:dyDescent="0.25">
      <c r="A113" s="46">
        <v>41861</v>
      </c>
      <c r="B113" s="47">
        <v>1</v>
      </c>
      <c r="C113" s="47" t="s">
        <v>92</v>
      </c>
      <c r="D113" s="48">
        <v>18000</v>
      </c>
      <c r="E113" s="21">
        <v>0.1</v>
      </c>
      <c r="F113" s="38">
        <v>18000</v>
      </c>
      <c r="G113" s="38"/>
      <c r="H113" s="38">
        <f t="shared" si="22"/>
        <v>18000</v>
      </c>
      <c r="I113" s="38">
        <f t="shared" si="21"/>
        <v>0</v>
      </c>
      <c r="J113" s="38"/>
    </row>
    <row r="114" spans="1:10" x14ac:dyDescent="0.25">
      <c r="A114" s="46">
        <v>41900</v>
      </c>
      <c r="B114" s="47">
        <v>1</v>
      </c>
      <c r="C114" s="47" t="s">
        <v>93</v>
      </c>
      <c r="D114" s="48">
        <v>90600</v>
      </c>
      <c r="E114" s="21">
        <v>0.1</v>
      </c>
      <c r="F114" s="38">
        <v>90600</v>
      </c>
      <c r="G114" s="38"/>
      <c r="H114" s="38">
        <f t="shared" si="22"/>
        <v>90600</v>
      </c>
      <c r="I114" s="38">
        <f t="shared" si="21"/>
        <v>0</v>
      </c>
      <c r="J114" s="38"/>
    </row>
    <row r="115" spans="1:10" x14ac:dyDescent="0.25">
      <c r="A115" s="46">
        <v>41906</v>
      </c>
      <c r="B115" s="47">
        <v>1</v>
      </c>
      <c r="C115" s="47" t="s">
        <v>93</v>
      </c>
      <c r="D115" s="48">
        <v>75750</v>
      </c>
      <c r="E115" s="21">
        <v>0.1</v>
      </c>
      <c r="F115" s="38">
        <v>75750</v>
      </c>
      <c r="G115" s="38"/>
      <c r="H115" s="38">
        <f t="shared" si="22"/>
        <v>75750</v>
      </c>
      <c r="I115" s="38">
        <f t="shared" si="21"/>
        <v>0</v>
      </c>
      <c r="J115" s="38"/>
    </row>
    <row r="116" spans="1:10" x14ac:dyDescent="0.25">
      <c r="A116" s="46">
        <v>41911</v>
      </c>
      <c r="B116" s="47">
        <v>5</v>
      </c>
      <c r="C116" s="47" t="s">
        <v>94</v>
      </c>
      <c r="D116" s="48">
        <v>11700</v>
      </c>
      <c r="E116" s="21">
        <v>0.1</v>
      </c>
      <c r="F116" s="38">
        <v>11700</v>
      </c>
      <c r="G116" s="38"/>
      <c r="H116" s="38">
        <f t="shared" si="22"/>
        <v>11700</v>
      </c>
      <c r="I116" s="38">
        <f t="shared" si="21"/>
        <v>0</v>
      </c>
      <c r="J116" s="38"/>
    </row>
    <row r="117" spans="1:10" x14ac:dyDescent="0.25">
      <c r="A117" s="46">
        <v>41935</v>
      </c>
      <c r="B117" s="47">
        <v>30</v>
      </c>
      <c r="C117" s="47" t="s">
        <v>95</v>
      </c>
      <c r="D117" s="48">
        <v>38000</v>
      </c>
      <c r="E117" s="21">
        <v>0.1</v>
      </c>
      <c r="F117" s="38">
        <v>38000</v>
      </c>
      <c r="G117" s="38"/>
      <c r="H117" s="38">
        <f t="shared" si="22"/>
        <v>38000</v>
      </c>
      <c r="I117" s="38">
        <f t="shared" si="21"/>
        <v>0</v>
      </c>
      <c r="J117" s="38"/>
    </row>
    <row r="118" spans="1:10" x14ac:dyDescent="0.25">
      <c r="A118" s="46">
        <v>41981</v>
      </c>
      <c r="B118" s="47">
        <v>11</v>
      </c>
      <c r="C118" s="47" t="s">
        <v>96</v>
      </c>
      <c r="D118" s="48">
        <v>350500</v>
      </c>
      <c r="E118" s="21">
        <v>0.1</v>
      </c>
      <c r="F118" s="38">
        <v>350500</v>
      </c>
      <c r="G118" s="38"/>
      <c r="H118" s="38">
        <f t="shared" si="22"/>
        <v>350500</v>
      </c>
      <c r="I118" s="38">
        <f t="shared" si="21"/>
        <v>0</v>
      </c>
      <c r="J118" s="38"/>
    </row>
    <row r="119" spans="1:10" x14ac:dyDescent="0.25">
      <c r="A119" s="46">
        <v>41985</v>
      </c>
      <c r="B119" s="47">
        <v>4</v>
      </c>
      <c r="C119" s="47" t="s">
        <v>97</v>
      </c>
      <c r="D119" s="48">
        <v>36050</v>
      </c>
      <c r="E119" s="21">
        <v>0.1</v>
      </c>
      <c r="F119" s="38">
        <v>36050</v>
      </c>
      <c r="G119" s="38"/>
      <c r="H119" s="38">
        <f t="shared" si="22"/>
        <v>36050</v>
      </c>
      <c r="I119" s="38">
        <f t="shared" si="21"/>
        <v>0</v>
      </c>
      <c r="J119" s="38"/>
    </row>
    <row r="120" spans="1:10" ht="13" x14ac:dyDescent="0.3">
      <c r="A120" s="42">
        <v>42004</v>
      </c>
      <c r="B120" s="43"/>
      <c r="C120" s="43" t="s">
        <v>98</v>
      </c>
      <c r="D120" s="44">
        <f>SUM(D99:D119)</f>
        <v>14809077</v>
      </c>
      <c r="E120" s="45">
        <v>0.1</v>
      </c>
      <c r="F120" s="44">
        <f>SUM(F99:F119)</f>
        <v>14809077</v>
      </c>
      <c r="G120" s="44">
        <f>SUM(G99:G119)</f>
        <v>0</v>
      </c>
      <c r="H120" s="44">
        <f>SUM(H99:H119)</f>
        <v>14809077</v>
      </c>
      <c r="I120" s="44">
        <f>SUM(I99:I119)</f>
        <v>3.637978807091713E-12</v>
      </c>
      <c r="J120" s="44"/>
    </row>
    <row r="122" spans="1:10" ht="13" x14ac:dyDescent="0.3">
      <c r="A122" s="42">
        <v>42005</v>
      </c>
      <c r="B122" s="43"/>
      <c r="C122" s="43" t="s">
        <v>99</v>
      </c>
      <c r="D122" s="44">
        <f>D120</f>
        <v>14809077</v>
      </c>
      <c r="E122" s="45">
        <v>0.1</v>
      </c>
      <c r="F122" s="44">
        <f>F120</f>
        <v>14809077</v>
      </c>
      <c r="G122" s="44">
        <f>+G120</f>
        <v>0</v>
      </c>
      <c r="H122" s="44">
        <f>H120</f>
        <v>14809077</v>
      </c>
      <c r="I122" s="44">
        <f>I120</f>
        <v>3.637978807091713E-12</v>
      </c>
      <c r="J122" s="44"/>
    </row>
    <row r="123" spans="1:10" x14ac:dyDescent="0.25">
      <c r="A123" s="46">
        <v>42033</v>
      </c>
      <c r="B123" s="47">
        <v>1</v>
      </c>
      <c r="C123" s="47" t="s">
        <v>90</v>
      </c>
      <c r="D123" s="38">
        <v>18000</v>
      </c>
      <c r="E123" s="21">
        <v>0.1</v>
      </c>
      <c r="F123" s="51">
        <v>18000</v>
      </c>
      <c r="G123" s="38"/>
      <c r="H123" s="38">
        <f>F123+G123</f>
        <v>18000</v>
      </c>
      <c r="I123" s="38">
        <f t="shared" ref="I123:I134" si="23">D123-H123</f>
        <v>0</v>
      </c>
      <c r="J123" s="38"/>
    </row>
    <row r="124" spans="1:10" x14ac:dyDescent="0.25">
      <c r="A124" s="46">
        <v>42048</v>
      </c>
      <c r="B124" s="47">
        <v>2</v>
      </c>
      <c r="C124" s="50" t="s">
        <v>100</v>
      </c>
      <c r="D124" s="38">
        <v>15600</v>
      </c>
      <c r="E124" s="21">
        <v>0.1</v>
      </c>
      <c r="F124" s="51">
        <v>15600</v>
      </c>
      <c r="G124" s="38"/>
      <c r="H124" s="38">
        <f t="shared" ref="H124:H134" si="24">F124+G124</f>
        <v>15600</v>
      </c>
      <c r="I124" s="38">
        <f t="shared" si="23"/>
        <v>0</v>
      </c>
      <c r="J124" s="38"/>
    </row>
    <row r="125" spans="1:10" x14ac:dyDescent="0.25">
      <c r="A125" s="46">
        <v>42074</v>
      </c>
      <c r="B125" s="47">
        <v>1</v>
      </c>
      <c r="C125" s="50" t="s">
        <v>101</v>
      </c>
      <c r="D125" s="38">
        <v>10000</v>
      </c>
      <c r="E125" s="21">
        <v>0.1</v>
      </c>
      <c r="F125" s="51">
        <v>10000</v>
      </c>
      <c r="G125" s="38"/>
      <c r="H125" s="38">
        <f t="shared" si="24"/>
        <v>10000</v>
      </c>
      <c r="I125" s="38">
        <f t="shared" si="23"/>
        <v>0</v>
      </c>
      <c r="J125" s="38"/>
    </row>
    <row r="126" spans="1:10" x14ac:dyDescent="0.25">
      <c r="A126" s="46">
        <v>42093</v>
      </c>
      <c r="B126" s="47">
        <v>1</v>
      </c>
      <c r="C126" s="47" t="s">
        <v>102</v>
      </c>
      <c r="D126" s="38">
        <v>17000</v>
      </c>
      <c r="E126" s="21">
        <v>0.1</v>
      </c>
      <c r="F126" s="51">
        <v>17000</v>
      </c>
      <c r="G126" s="38"/>
      <c r="H126" s="38">
        <f t="shared" si="24"/>
        <v>17000</v>
      </c>
      <c r="I126" s="38">
        <f t="shared" si="23"/>
        <v>0</v>
      </c>
      <c r="J126" s="38"/>
    </row>
    <row r="127" spans="1:10" x14ac:dyDescent="0.25">
      <c r="A127" s="46">
        <v>42177</v>
      </c>
      <c r="B127" s="47">
        <v>1</v>
      </c>
      <c r="C127" s="47" t="s">
        <v>103</v>
      </c>
      <c r="D127" s="38">
        <v>16300</v>
      </c>
      <c r="E127" s="21">
        <v>0.1</v>
      </c>
      <c r="F127" s="51">
        <v>16300</v>
      </c>
      <c r="G127" s="38"/>
      <c r="H127" s="38">
        <f t="shared" si="24"/>
        <v>16300</v>
      </c>
      <c r="I127" s="38">
        <f t="shared" si="23"/>
        <v>0</v>
      </c>
      <c r="J127" s="38"/>
    </row>
    <row r="128" spans="1:10" x14ac:dyDescent="0.25">
      <c r="A128" s="46">
        <v>42216</v>
      </c>
      <c r="B128" s="52">
        <v>1</v>
      </c>
      <c r="C128" s="47" t="s">
        <v>102</v>
      </c>
      <c r="D128" s="38">
        <v>17000</v>
      </c>
      <c r="E128" s="21">
        <v>0.1</v>
      </c>
      <c r="F128" s="51">
        <v>17000</v>
      </c>
      <c r="G128" s="38"/>
      <c r="H128" s="38">
        <f t="shared" si="24"/>
        <v>17000</v>
      </c>
      <c r="I128" s="38">
        <f t="shared" si="23"/>
        <v>0</v>
      </c>
      <c r="J128" s="38"/>
    </row>
    <row r="129" spans="1:10" x14ac:dyDescent="0.25">
      <c r="A129" s="46">
        <v>42216</v>
      </c>
      <c r="B129" s="47">
        <v>2</v>
      </c>
      <c r="C129" s="47" t="s">
        <v>104</v>
      </c>
      <c r="D129" s="38">
        <v>19200</v>
      </c>
      <c r="E129" s="21">
        <v>0.1</v>
      </c>
      <c r="F129" s="51">
        <v>19200</v>
      </c>
      <c r="G129" s="38"/>
      <c r="H129" s="38">
        <f t="shared" si="24"/>
        <v>19200</v>
      </c>
      <c r="I129" s="38">
        <f t="shared" si="23"/>
        <v>0</v>
      </c>
      <c r="J129" s="38"/>
    </row>
    <row r="130" spans="1:10" x14ac:dyDescent="0.25">
      <c r="A130" s="46">
        <v>42216</v>
      </c>
      <c r="B130" s="47">
        <v>5</v>
      </c>
      <c r="C130" s="47" t="s">
        <v>87</v>
      </c>
      <c r="D130" s="38">
        <v>24000</v>
      </c>
      <c r="E130" s="21">
        <v>0.1</v>
      </c>
      <c r="F130" s="51">
        <v>24000</v>
      </c>
      <c r="G130" s="38"/>
      <c r="H130" s="38">
        <f t="shared" si="24"/>
        <v>24000</v>
      </c>
      <c r="I130" s="38">
        <f t="shared" si="23"/>
        <v>0</v>
      </c>
      <c r="J130" s="38"/>
    </row>
    <row r="131" spans="1:10" x14ac:dyDescent="0.25">
      <c r="A131" s="46">
        <v>42216</v>
      </c>
      <c r="B131" s="47">
        <v>6</v>
      </c>
      <c r="C131" s="47" t="s">
        <v>105</v>
      </c>
      <c r="D131" s="38">
        <v>95200</v>
      </c>
      <c r="E131" s="21">
        <v>0.1</v>
      </c>
      <c r="F131" s="51">
        <v>95200</v>
      </c>
      <c r="G131" s="38"/>
      <c r="H131" s="38">
        <f t="shared" si="24"/>
        <v>95200</v>
      </c>
      <c r="I131" s="38">
        <f t="shared" si="23"/>
        <v>0</v>
      </c>
      <c r="J131" s="38"/>
    </row>
    <row r="132" spans="1:10" x14ac:dyDescent="0.25">
      <c r="A132" s="46">
        <v>42240</v>
      </c>
      <c r="B132" s="47">
        <v>1</v>
      </c>
      <c r="C132" s="47" t="s">
        <v>106</v>
      </c>
      <c r="D132" s="38">
        <v>31250</v>
      </c>
      <c r="E132" s="21">
        <v>0.1</v>
      </c>
      <c r="F132" s="51">
        <v>31250</v>
      </c>
      <c r="G132" s="38"/>
      <c r="H132" s="38">
        <f t="shared" si="24"/>
        <v>31250</v>
      </c>
      <c r="I132" s="38">
        <f t="shared" si="23"/>
        <v>0</v>
      </c>
      <c r="J132" s="38"/>
    </row>
    <row r="133" spans="1:10" x14ac:dyDescent="0.25">
      <c r="A133" s="46">
        <v>42242</v>
      </c>
      <c r="B133" s="47">
        <v>2</v>
      </c>
      <c r="C133" s="47" t="s">
        <v>90</v>
      </c>
      <c r="D133" s="38">
        <v>35000</v>
      </c>
      <c r="E133" s="21">
        <v>0.1</v>
      </c>
      <c r="F133" s="51">
        <v>35000</v>
      </c>
      <c r="G133" s="38"/>
      <c r="H133" s="38">
        <f t="shared" si="24"/>
        <v>35000</v>
      </c>
      <c r="I133" s="38">
        <f t="shared" si="23"/>
        <v>0</v>
      </c>
      <c r="J133" s="38"/>
    </row>
    <row r="134" spans="1:10" x14ac:dyDescent="0.25">
      <c r="A134" s="46">
        <v>42248</v>
      </c>
      <c r="B134" s="47">
        <v>2</v>
      </c>
      <c r="C134" s="47" t="s">
        <v>106</v>
      </c>
      <c r="D134" s="38">
        <v>22390</v>
      </c>
      <c r="E134" s="21">
        <v>0.1</v>
      </c>
      <c r="F134" s="51">
        <v>22390</v>
      </c>
      <c r="G134" s="38"/>
      <c r="H134" s="38">
        <f t="shared" si="24"/>
        <v>22390</v>
      </c>
      <c r="I134" s="38">
        <f t="shared" si="23"/>
        <v>0</v>
      </c>
      <c r="J134" s="38"/>
    </row>
    <row r="135" spans="1:10" ht="13" x14ac:dyDescent="0.3">
      <c r="A135" s="42">
        <v>42369</v>
      </c>
      <c r="B135" s="43"/>
      <c r="C135" s="43" t="s">
        <v>107</v>
      </c>
      <c r="D135" s="44">
        <f>SUM(D122:D134)</f>
        <v>15130017</v>
      </c>
      <c r="E135" s="45">
        <v>0.1</v>
      </c>
      <c r="F135" s="44">
        <f>SUM(F122:F134)</f>
        <v>15130017</v>
      </c>
      <c r="G135" s="44">
        <f t="shared" ref="G135:H135" si="25">SUM(G122:G134)</f>
        <v>0</v>
      </c>
      <c r="H135" s="44">
        <f t="shared" si="25"/>
        <v>15130017</v>
      </c>
      <c r="I135" s="44">
        <f>SUM(I122:I134)</f>
        <v>3.637978807091713E-12</v>
      </c>
      <c r="J135" s="44"/>
    </row>
    <row r="136" spans="1:10" ht="13" x14ac:dyDescent="0.3">
      <c r="A136" s="54"/>
      <c r="B136" s="55"/>
      <c r="C136" s="55"/>
      <c r="D136" s="56"/>
      <c r="E136" s="57"/>
      <c r="F136" s="56"/>
      <c r="G136" s="56"/>
      <c r="H136" s="56"/>
      <c r="I136" s="56"/>
      <c r="J136" s="56"/>
    </row>
    <row r="137" spans="1:10" ht="13" x14ac:dyDescent="0.3">
      <c r="A137" s="54"/>
      <c r="B137" s="55"/>
      <c r="C137" s="55"/>
      <c r="D137" s="56"/>
      <c r="E137" s="57"/>
      <c r="F137" s="56"/>
      <c r="G137" s="56"/>
      <c r="H137" s="56"/>
      <c r="I137" s="56"/>
      <c r="J137" s="56"/>
    </row>
    <row r="138" spans="1:10" ht="13" x14ac:dyDescent="0.3">
      <c r="A138" s="54"/>
      <c r="B138" s="55"/>
      <c r="C138" s="55"/>
      <c r="D138" s="56"/>
      <c r="E138" s="57"/>
      <c r="F138" s="56"/>
      <c r="G138" s="56"/>
      <c r="H138" s="56"/>
      <c r="I138" s="56"/>
      <c r="J138" s="56"/>
    </row>
    <row r="139" spans="1:10" ht="13" x14ac:dyDescent="0.3">
      <c r="A139" s="54"/>
      <c r="B139" s="55"/>
      <c r="C139" s="55"/>
      <c r="D139" s="56"/>
      <c r="E139" s="57"/>
      <c r="F139" s="56"/>
      <c r="G139" s="56"/>
      <c r="H139" s="56"/>
      <c r="I139" s="56"/>
      <c r="J139" s="56"/>
    </row>
    <row r="140" spans="1:10" ht="13" x14ac:dyDescent="0.3">
      <c r="A140" s="54"/>
      <c r="B140" s="55"/>
      <c r="C140" s="55"/>
      <c r="D140" s="56"/>
      <c r="E140" s="57"/>
      <c r="F140" s="56"/>
      <c r="G140" s="56"/>
      <c r="H140" s="56"/>
      <c r="I140" s="56"/>
      <c r="J140" s="56"/>
    </row>
    <row r="141" spans="1:10" ht="13" x14ac:dyDescent="0.3">
      <c r="A141" s="54"/>
      <c r="B141" s="55"/>
      <c r="C141" s="55"/>
      <c r="D141" s="56"/>
      <c r="E141" s="57"/>
      <c r="F141" s="56"/>
      <c r="G141" s="56"/>
      <c r="H141" s="56"/>
      <c r="I141" s="56"/>
      <c r="J141" s="56"/>
    </row>
    <row r="142" spans="1:10" ht="13" x14ac:dyDescent="0.3">
      <c r="A142" s="54"/>
      <c r="B142" s="55"/>
      <c r="C142" s="55"/>
      <c r="D142" s="56"/>
      <c r="E142" s="57"/>
      <c r="F142" s="56"/>
      <c r="G142" s="56"/>
      <c r="H142" s="56"/>
      <c r="I142" s="56"/>
      <c r="J142" s="56"/>
    </row>
    <row r="143" spans="1:10" ht="13" x14ac:dyDescent="0.3">
      <c r="A143" s="54"/>
      <c r="B143" s="55"/>
      <c r="C143" s="55"/>
      <c r="D143" s="56"/>
      <c r="E143" s="57"/>
      <c r="F143" s="56"/>
      <c r="G143" s="56"/>
      <c r="H143" s="56"/>
      <c r="I143" s="56"/>
      <c r="J143" s="56"/>
    </row>
    <row r="144" spans="1:10" ht="13" x14ac:dyDescent="0.3">
      <c r="A144" s="54"/>
      <c r="B144" s="55"/>
      <c r="C144" s="55"/>
      <c r="D144" s="56"/>
      <c r="E144" s="57"/>
      <c r="F144" s="56"/>
      <c r="G144" s="56"/>
      <c r="H144" s="56"/>
      <c r="I144" s="56"/>
      <c r="J144" s="56"/>
    </row>
    <row r="145" spans="1:10" ht="13" x14ac:dyDescent="0.3">
      <c r="A145" s="54"/>
      <c r="B145" s="55"/>
      <c r="C145" s="55"/>
      <c r="D145" s="56"/>
      <c r="E145" s="57"/>
      <c r="F145" s="56"/>
      <c r="G145" s="56"/>
      <c r="H145" s="56"/>
      <c r="I145" s="56"/>
      <c r="J145" s="56"/>
    </row>
    <row r="148" spans="1:10" ht="13" x14ac:dyDescent="0.3">
      <c r="A148" s="42">
        <v>42370</v>
      </c>
      <c r="B148" s="43"/>
      <c r="C148" s="43" t="s">
        <v>108</v>
      </c>
      <c r="D148" s="44">
        <f>D135</f>
        <v>15130017</v>
      </c>
      <c r="E148" s="45">
        <v>0.1</v>
      </c>
      <c r="F148" s="44">
        <f>F135</f>
        <v>15130017</v>
      </c>
      <c r="G148" s="44">
        <f t="shared" ref="G148:H148" si="26">G135</f>
        <v>0</v>
      </c>
      <c r="H148" s="44">
        <f t="shared" si="26"/>
        <v>15130017</v>
      </c>
      <c r="I148" s="44">
        <f>I135</f>
        <v>3.637978807091713E-12</v>
      </c>
      <c r="J148" s="44"/>
    </row>
    <row r="149" spans="1:10" x14ac:dyDescent="0.25">
      <c r="A149" s="46">
        <v>42495</v>
      </c>
      <c r="B149" s="47">
        <v>50</v>
      </c>
      <c r="C149" s="47" t="s">
        <v>109</v>
      </c>
      <c r="D149" s="38">
        <v>225000</v>
      </c>
      <c r="E149" s="21">
        <v>0.1</v>
      </c>
      <c r="F149" s="51">
        <v>217500</v>
      </c>
      <c r="G149" s="38">
        <v>7500</v>
      </c>
      <c r="H149" s="38">
        <f t="shared" ref="H149:H160" si="27">G149+F149</f>
        <v>225000</v>
      </c>
      <c r="I149" s="38">
        <f t="shared" ref="I149:I160" si="28">D149-H149</f>
        <v>0</v>
      </c>
      <c r="J149" s="38"/>
    </row>
    <row r="150" spans="1:10" x14ac:dyDescent="0.25">
      <c r="A150" s="46">
        <v>42534</v>
      </c>
      <c r="B150" s="47">
        <v>1</v>
      </c>
      <c r="C150" s="50" t="s">
        <v>110</v>
      </c>
      <c r="D150" s="38">
        <v>86300</v>
      </c>
      <c r="E150" s="21">
        <v>0.1</v>
      </c>
      <c r="F150" s="51">
        <v>82704.166666666701</v>
      </c>
      <c r="G150" s="38">
        <v>3595.8333333332994</v>
      </c>
      <c r="H150" s="38">
        <f t="shared" si="27"/>
        <v>86300</v>
      </c>
      <c r="I150" s="38">
        <f t="shared" si="28"/>
        <v>0</v>
      </c>
      <c r="J150" s="38"/>
    </row>
    <row r="151" spans="1:10" x14ac:dyDescent="0.25">
      <c r="A151" s="46">
        <v>42534</v>
      </c>
      <c r="B151" s="47">
        <v>1</v>
      </c>
      <c r="C151" s="50" t="s">
        <v>111</v>
      </c>
      <c r="D151" s="38">
        <v>79000</v>
      </c>
      <c r="E151" s="21">
        <v>0.1</v>
      </c>
      <c r="F151" s="51">
        <v>75708.333333333299</v>
      </c>
      <c r="G151" s="38">
        <v>3291.6666666667006</v>
      </c>
      <c r="H151" s="38">
        <f t="shared" si="27"/>
        <v>79000</v>
      </c>
      <c r="I151" s="38">
        <f t="shared" si="28"/>
        <v>0</v>
      </c>
      <c r="J151" s="38"/>
    </row>
    <row r="152" spans="1:10" x14ac:dyDescent="0.25">
      <c r="A152" s="46">
        <v>42544</v>
      </c>
      <c r="B152" s="47">
        <v>2</v>
      </c>
      <c r="C152" s="47" t="s">
        <v>112</v>
      </c>
      <c r="D152" s="38">
        <v>89000</v>
      </c>
      <c r="E152" s="21">
        <v>0.1</v>
      </c>
      <c r="F152" s="51">
        <v>84550</v>
      </c>
      <c r="G152" s="38">
        <v>4450</v>
      </c>
      <c r="H152" s="38">
        <f t="shared" si="27"/>
        <v>89000</v>
      </c>
      <c r="I152" s="38">
        <f t="shared" si="28"/>
        <v>0</v>
      </c>
      <c r="J152" s="38"/>
    </row>
    <row r="153" spans="1:10" x14ac:dyDescent="0.25">
      <c r="A153" s="46">
        <v>42563</v>
      </c>
      <c r="B153" s="47">
        <v>1</v>
      </c>
      <c r="C153" s="47" t="s">
        <v>113</v>
      </c>
      <c r="D153" s="38">
        <v>20500</v>
      </c>
      <c r="E153" s="21">
        <v>0.1</v>
      </c>
      <c r="F153" s="51">
        <v>19475</v>
      </c>
      <c r="G153" s="38">
        <v>1025</v>
      </c>
      <c r="H153" s="38">
        <f t="shared" si="27"/>
        <v>20500</v>
      </c>
      <c r="I153" s="38">
        <f t="shared" si="28"/>
        <v>0</v>
      </c>
      <c r="J153" s="38"/>
    </row>
    <row r="154" spans="1:10" x14ac:dyDescent="0.25">
      <c r="A154" s="46">
        <v>42564</v>
      </c>
      <c r="B154" s="52">
        <v>1</v>
      </c>
      <c r="C154" s="47" t="s">
        <v>114</v>
      </c>
      <c r="D154" s="38">
        <v>15000</v>
      </c>
      <c r="E154" s="21">
        <v>0.1</v>
      </c>
      <c r="F154" s="51">
        <v>14250</v>
      </c>
      <c r="G154" s="38">
        <v>750</v>
      </c>
      <c r="H154" s="38">
        <f t="shared" si="27"/>
        <v>15000</v>
      </c>
      <c r="I154" s="38">
        <f t="shared" si="28"/>
        <v>0</v>
      </c>
      <c r="J154" s="38"/>
    </row>
    <row r="155" spans="1:10" x14ac:dyDescent="0.25">
      <c r="A155" s="46">
        <v>42569</v>
      </c>
      <c r="B155" s="47">
        <v>25</v>
      </c>
      <c r="C155" s="47" t="s">
        <v>115</v>
      </c>
      <c r="D155" s="38">
        <v>14000</v>
      </c>
      <c r="E155" s="21">
        <v>0.1</v>
      </c>
      <c r="F155" s="51">
        <v>13183.33333333333</v>
      </c>
      <c r="G155" s="38">
        <v>816.6666666666697</v>
      </c>
      <c r="H155" s="38">
        <f t="shared" si="27"/>
        <v>14000</v>
      </c>
      <c r="I155" s="38">
        <f t="shared" si="28"/>
        <v>0</v>
      </c>
      <c r="J155" s="38"/>
    </row>
    <row r="156" spans="1:10" x14ac:dyDescent="0.25">
      <c r="A156" s="46">
        <v>42587</v>
      </c>
      <c r="B156" s="47">
        <v>2</v>
      </c>
      <c r="C156" s="47" t="s">
        <v>116</v>
      </c>
      <c r="D156" s="38">
        <v>54000</v>
      </c>
      <c r="E156" s="21">
        <v>0.1</v>
      </c>
      <c r="F156" s="51">
        <v>50850</v>
      </c>
      <c r="G156" s="38">
        <v>3150</v>
      </c>
      <c r="H156" s="38">
        <f t="shared" si="27"/>
        <v>54000</v>
      </c>
      <c r="I156" s="38">
        <f t="shared" si="28"/>
        <v>0</v>
      </c>
      <c r="J156" s="38"/>
    </row>
    <row r="157" spans="1:10" x14ac:dyDescent="0.25">
      <c r="A157" s="46">
        <v>42614</v>
      </c>
      <c r="B157" s="47">
        <v>2</v>
      </c>
      <c r="C157" s="47" t="s">
        <v>117</v>
      </c>
      <c r="D157" s="38">
        <v>33000</v>
      </c>
      <c r="E157" s="21">
        <v>0.1</v>
      </c>
      <c r="F157" s="51">
        <v>30800</v>
      </c>
      <c r="G157" s="38">
        <v>2200</v>
      </c>
      <c r="H157" s="38">
        <f t="shared" si="27"/>
        <v>33000</v>
      </c>
      <c r="I157" s="38">
        <f t="shared" si="28"/>
        <v>0</v>
      </c>
      <c r="J157" s="38"/>
    </row>
    <row r="158" spans="1:10" x14ac:dyDescent="0.25">
      <c r="A158" s="46">
        <v>42657</v>
      </c>
      <c r="B158" s="47">
        <v>1</v>
      </c>
      <c r="C158" s="47" t="s">
        <v>118</v>
      </c>
      <c r="D158" s="38">
        <v>14700</v>
      </c>
      <c r="E158" s="21">
        <v>0.1</v>
      </c>
      <c r="F158" s="51">
        <v>13597.5</v>
      </c>
      <c r="G158" s="38">
        <v>1102.5</v>
      </c>
      <c r="H158" s="38">
        <f t="shared" si="27"/>
        <v>14700</v>
      </c>
      <c r="I158" s="38">
        <f t="shared" si="28"/>
        <v>0</v>
      </c>
      <c r="J158" s="38"/>
    </row>
    <row r="159" spans="1:10" x14ac:dyDescent="0.25">
      <c r="A159" s="46">
        <v>42677</v>
      </c>
      <c r="B159" s="47">
        <v>2</v>
      </c>
      <c r="C159" s="47" t="s">
        <v>119</v>
      </c>
      <c r="D159" s="38">
        <v>840000</v>
      </c>
      <c r="E159" s="21">
        <v>0.1</v>
      </c>
      <c r="F159" s="51">
        <v>770000</v>
      </c>
      <c r="G159" s="38">
        <v>70000</v>
      </c>
      <c r="H159" s="38">
        <f t="shared" si="27"/>
        <v>840000</v>
      </c>
      <c r="I159" s="38">
        <f t="shared" si="28"/>
        <v>0</v>
      </c>
      <c r="J159" s="38"/>
    </row>
    <row r="160" spans="1:10" x14ac:dyDescent="0.25">
      <c r="A160" s="46">
        <v>42683</v>
      </c>
      <c r="B160" s="47">
        <v>2</v>
      </c>
      <c r="C160" s="47" t="s">
        <v>120</v>
      </c>
      <c r="D160" s="38">
        <v>48000</v>
      </c>
      <c r="E160" s="21">
        <v>0.1</v>
      </c>
      <c r="F160" s="51">
        <v>44000</v>
      </c>
      <c r="G160" s="38">
        <v>4000</v>
      </c>
      <c r="H160" s="38">
        <f t="shared" si="27"/>
        <v>48000</v>
      </c>
      <c r="I160" s="38">
        <f t="shared" si="28"/>
        <v>0</v>
      </c>
      <c r="J160" s="38"/>
    </row>
    <row r="161" spans="1:10" ht="13" x14ac:dyDescent="0.3">
      <c r="A161" s="42">
        <v>42735</v>
      </c>
      <c r="B161" s="43"/>
      <c r="C161" s="43" t="s">
        <v>121</v>
      </c>
      <c r="D161" s="44">
        <f>SUM(D148:D160)</f>
        <v>16648517</v>
      </c>
      <c r="E161" s="45">
        <v>0.1</v>
      </c>
      <c r="F161" s="44">
        <f>SUM(F148:F160)</f>
        <v>16546635.333333334</v>
      </c>
      <c r="G161" s="44">
        <f t="shared" ref="G161:H161" si="29">SUM(G148:G160)</f>
        <v>101881.66666666667</v>
      </c>
      <c r="H161" s="44">
        <f t="shared" si="29"/>
        <v>16648517</v>
      </c>
      <c r="I161" s="44">
        <f>SUM(I148:I160)</f>
        <v>3.637978807091713E-12</v>
      </c>
      <c r="J161" s="44"/>
    </row>
    <row r="162" spans="1:10" x14ac:dyDescent="0.25">
      <c r="F162" s="49"/>
    </row>
    <row r="163" spans="1:10" ht="13" x14ac:dyDescent="0.3">
      <c r="A163" s="42">
        <v>42736</v>
      </c>
      <c r="B163" s="43"/>
      <c r="C163" s="43" t="s">
        <v>122</v>
      </c>
      <c r="D163" s="44">
        <f>D161</f>
        <v>16648517</v>
      </c>
      <c r="E163" s="45">
        <v>0.1</v>
      </c>
      <c r="F163" s="44">
        <f>F161</f>
        <v>16546635.333333334</v>
      </c>
      <c r="G163" s="44">
        <f t="shared" ref="G163:H163" si="30">G161</f>
        <v>101881.66666666667</v>
      </c>
      <c r="H163" s="44">
        <f t="shared" si="30"/>
        <v>16648517</v>
      </c>
      <c r="I163" s="44">
        <f>I161</f>
        <v>3.637978807091713E-12</v>
      </c>
      <c r="J163" s="44"/>
    </row>
    <row r="164" spans="1:10" x14ac:dyDescent="0.25">
      <c r="A164" s="46">
        <v>42803</v>
      </c>
      <c r="B164" s="47">
        <v>2</v>
      </c>
      <c r="C164" s="47" t="s">
        <v>123</v>
      </c>
      <c r="D164" s="38">
        <v>570600</v>
      </c>
      <c r="E164" s="21">
        <v>0.1</v>
      </c>
      <c r="F164" s="51">
        <v>504030</v>
      </c>
      <c r="G164" s="38">
        <f>E164*D164*6/12</f>
        <v>28530</v>
      </c>
      <c r="H164" s="38">
        <f>F164+G164</f>
        <v>532560</v>
      </c>
      <c r="I164" s="38">
        <f t="shared" ref="I164:I175" si="31">D164-H164</f>
        <v>38040</v>
      </c>
      <c r="J164" s="38"/>
    </row>
    <row r="165" spans="1:10" x14ac:dyDescent="0.25">
      <c r="A165" s="46">
        <v>42814</v>
      </c>
      <c r="B165" s="47">
        <v>1</v>
      </c>
      <c r="C165" s="50" t="s">
        <v>124</v>
      </c>
      <c r="D165" s="38">
        <v>14500</v>
      </c>
      <c r="E165" s="21">
        <v>0.1</v>
      </c>
      <c r="F165" s="51">
        <v>12687.5</v>
      </c>
      <c r="G165" s="38">
        <f t="shared" ref="G165:G175" si="32">E165*D165*6/12</f>
        <v>725</v>
      </c>
      <c r="H165" s="38">
        <f t="shared" ref="H165:H175" si="33">F165+G165</f>
        <v>13412.5</v>
      </c>
      <c r="I165" s="38">
        <f t="shared" si="31"/>
        <v>1087.5</v>
      </c>
      <c r="J165" s="38"/>
    </row>
    <row r="166" spans="1:10" x14ac:dyDescent="0.25">
      <c r="A166" s="46">
        <v>42852</v>
      </c>
      <c r="B166" s="47">
        <v>1</v>
      </c>
      <c r="C166" s="50" t="s">
        <v>114</v>
      </c>
      <c r="D166" s="38">
        <v>19000</v>
      </c>
      <c r="E166" s="21">
        <v>0.1</v>
      </c>
      <c r="F166" s="51">
        <v>16466.666666666672</v>
      </c>
      <c r="G166" s="38">
        <f t="shared" si="32"/>
        <v>950</v>
      </c>
      <c r="H166" s="38">
        <f t="shared" si="33"/>
        <v>17416.666666666672</v>
      </c>
      <c r="I166" s="38">
        <f t="shared" si="31"/>
        <v>1583.3333333333285</v>
      </c>
      <c r="J166" s="38"/>
    </row>
    <row r="167" spans="1:10" x14ac:dyDescent="0.25">
      <c r="A167" s="46">
        <v>42859</v>
      </c>
      <c r="B167" s="47">
        <v>4</v>
      </c>
      <c r="C167" s="47" t="s">
        <v>125</v>
      </c>
      <c r="D167" s="38">
        <v>187079</v>
      </c>
      <c r="E167" s="21">
        <v>0.1</v>
      </c>
      <c r="F167" s="51">
        <v>162135.13333333327</v>
      </c>
      <c r="G167" s="38">
        <f t="shared" si="32"/>
        <v>9353.9500000000007</v>
      </c>
      <c r="H167" s="38">
        <f t="shared" si="33"/>
        <v>171489.08333333328</v>
      </c>
      <c r="I167" s="38">
        <f t="shared" si="31"/>
        <v>15589.916666666715</v>
      </c>
      <c r="J167" s="38"/>
    </row>
    <row r="168" spans="1:10" x14ac:dyDescent="0.25">
      <c r="A168" s="46">
        <v>42878</v>
      </c>
      <c r="B168" s="47">
        <v>1</v>
      </c>
      <c r="C168" s="47" t="s">
        <v>126</v>
      </c>
      <c r="D168" s="38">
        <v>18500</v>
      </c>
      <c r="E168" s="21">
        <v>0.1</v>
      </c>
      <c r="F168" s="51">
        <v>15879.16666666667</v>
      </c>
      <c r="G168" s="38">
        <f t="shared" si="32"/>
        <v>925</v>
      </c>
      <c r="H168" s="38">
        <f t="shared" si="33"/>
        <v>16804.166666666672</v>
      </c>
      <c r="I168" s="38">
        <f t="shared" si="31"/>
        <v>1695.8333333333285</v>
      </c>
      <c r="J168" s="38"/>
    </row>
    <row r="169" spans="1:10" x14ac:dyDescent="0.25">
      <c r="A169" s="46">
        <v>42944</v>
      </c>
      <c r="B169" s="52">
        <v>1</v>
      </c>
      <c r="C169" s="47" t="s">
        <v>127</v>
      </c>
      <c r="D169" s="38">
        <v>48200</v>
      </c>
      <c r="E169" s="21">
        <v>0.1</v>
      </c>
      <c r="F169" s="51">
        <v>40970</v>
      </c>
      <c r="G169" s="38">
        <f t="shared" si="32"/>
        <v>2410</v>
      </c>
      <c r="H169" s="38">
        <f t="shared" si="33"/>
        <v>43380</v>
      </c>
      <c r="I169" s="38">
        <f t="shared" si="31"/>
        <v>4820</v>
      </c>
      <c r="J169" s="38"/>
    </row>
    <row r="170" spans="1:10" x14ac:dyDescent="0.25">
      <c r="A170" s="46">
        <v>42944</v>
      </c>
      <c r="B170" s="47">
        <v>49</v>
      </c>
      <c r="C170" s="47" t="s">
        <v>128</v>
      </c>
      <c r="D170" s="38">
        <v>91800</v>
      </c>
      <c r="E170" s="21">
        <v>0.1</v>
      </c>
      <c r="F170" s="51">
        <v>78030</v>
      </c>
      <c r="G170" s="38">
        <f t="shared" si="32"/>
        <v>4590</v>
      </c>
      <c r="H170" s="38">
        <f t="shared" si="33"/>
        <v>82620</v>
      </c>
      <c r="I170" s="38">
        <f t="shared" si="31"/>
        <v>9180</v>
      </c>
      <c r="J170" s="38"/>
    </row>
    <row r="171" spans="1:10" x14ac:dyDescent="0.25">
      <c r="A171" s="46">
        <v>42963</v>
      </c>
      <c r="B171" s="47">
        <v>1</v>
      </c>
      <c r="C171" s="47" t="s">
        <v>114</v>
      </c>
      <c r="D171" s="38">
        <v>18000</v>
      </c>
      <c r="E171" s="21">
        <v>0.1</v>
      </c>
      <c r="F171" s="51">
        <v>15000</v>
      </c>
      <c r="G171" s="38">
        <f t="shared" si="32"/>
        <v>900</v>
      </c>
      <c r="H171" s="38">
        <f t="shared" si="33"/>
        <v>15900</v>
      </c>
      <c r="I171" s="38">
        <f t="shared" si="31"/>
        <v>2100</v>
      </c>
      <c r="J171" s="38"/>
    </row>
    <row r="172" spans="1:10" x14ac:dyDescent="0.25">
      <c r="A172" s="46">
        <v>42984</v>
      </c>
      <c r="B172" s="47">
        <v>1</v>
      </c>
      <c r="C172" s="47" t="s">
        <v>129</v>
      </c>
      <c r="D172" s="38">
        <v>19140</v>
      </c>
      <c r="E172" s="21">
        <v>0.1</v>
      </c>
      <c r="F172" s="51">
        <v>15950</v>
      </c>
      <c r="G172" s="38">
        <f t="shared" si="32"/>
        <v>957</v>
      </c>
      <c r="H172" s="38">
        <f t="shared" si="33"/>
        <v>16907</v>
      </c>
      <c r="I172" s="38">
        <f t="shared" si="31"/>
        <v>2233</v>
      </c>
      <c r="J172" s="38"/>
    </row>
    <row r="173" spans="1:10" x14ac:dyDescent="0.25">
      <c r="A173" s="46">
        <v>42999</v>
      </c>
      <c r="B173" s="47">
        <v>2</v>
      </c>
      <c r="C173" s="47" t="s">
        <v>130</v>
      </c>
      <c r="D173" s="38">
        <v>27000</v>
      </c>
      <c r="E173" s="21">
        <v>0.1</v>
      </c>
      <c r="F173" s="51">
        <v>22275</v>
      </c>
      <c r="G173" s="38">
        <f t="shared" si="32"/>
        <v>1350</v>
      </c>
      <c r="H173" s="38">
        <f t="shared" si="33"/>
        <v>23625</v>
      </c>
      <c r="I173" s="38">
        <f t="shared" si="31"/>
        <v>3375</v>
      </c>
      <c r="J173" s="38"/>
    </row>
    <row r="174" spans="1:10" x14ac:dyDescent="0.25">
      <c r="A174" s="46">
        <v>43040</v>
      </c>
      <c r="B174" s="47">
        <v>1</v>
      </c>
      <c r="C174" s="47" t="s">
        <v>131</v>
      </c>
      <c r="D174" s="38">
        <v>11700</v>
      </c>
      <c r="E174" s="21">
        <v>0.1</v>
      </c>
      <c r="F174" s="51">
        <v>9555</v>
      </c>
      <c r="G174" s="38">
        <f t="shared" si="32"/>
        <v>585</v>
      </c>
      <c r="H174" s="38">
        <f t="shared" si="33"/>
        <v>10140</v>
      </c>
      <c r="I174" s="38">
        <f t="shared" si="31"/>
        <v>1560</v>
      </c>
      <c r="J174" s="38"/>
    </row>
    <row r="175" spans="1:10" x14ac:dyDescent="0.25">
      <c r="A175" s="46">
        <v>43075</v>
      </c>
      <c r="B175" s="47">
        <v>6</v>
      </c>
      <c r="C175" s="47" t="s">
        <v>126</v>
      </c>
      <c r="D175" s="38">
        <v>117000</v>
      </c>
      <c r="E175" s="21">
        <v>0.1</v>
      </c>
      <c r="F175" s="51">
        <v>94575</v>
      </c>
      <c r="G175" s="38">
        <f t="shared" si="32"/>
        <v>5850</v>
      </c>
      <c r="H175" s="38">
        <f t="shared" si="33"/>
        <v>100425</v>
      </c>
      <c r="I175" s="38">
        <f t="shared" si="31"/>
        <v>16575</v>
      </c>
      <c r="J175" s="38"/>
    </row>
    <row r="176" spans="1:10" ht="13" x14ac:dyDescent="0.3">
      <c r="A176" s="42">
        <v>43100</v>
      </c>
      <c r="B176" s="43"/>
      <c r="C176" s="43" t="s">
        <v>132</v>
      </c>
      <c r="D176" s="44">
        <f>SUM(D163:D175)</f>
        <v>17791036</v>
      </c>
      <c r="E176" s="45">
        <v>0.1</v>
      </c>
      <c r="F176" s="44">
        <f>SUM(F163:F175)</f>
        <v>17534188.800000004</v>
      </c>
      <c r="G176" s="44">
        <f t="shared" ref="G176:H176" si="34">SUM(G163:G175)</f>
        <v>159007.6166666667</v>
      </c>
      <c r="H176" s="44">
        <f t="shared" si="34"/>
        <v>17693196.416666668</v>
      </c>
      <c r="I176" s="44">
        <f>SUM(I163:I175)</f>
        <v>97839.583333333372</v>
      </c>
      <c r="J176" s="44"/>
    </row>
    <row r="178" spans="1:10" ht="13" x14ac:dyDescent="0.3">
      <c r="A178" s="42">
        <v>43101</v>
      </c>
      <c r="B178" s="43"/>
      <c r="C178" s="43" t="s">
        <v>133</v>
      </c>
      <c r="D178" s="44">
        <f>D176</f>
        <v>17791036</v>
      </c>
      <c r="E178" s="45">
        <v>0.1</v>
      </c>
      <c r="F178" s="44">
        <f>F176</f>
        <v>17534188.800000004</v>
      </c>
      <c r="G178" s="44">
        <f t="shared" ref="G178:H178" si="35">G176</f>
        <v>159007.6166666667</v>
      </c>
      <c r="H178" s="44">
        <f t="shared" si="35"/>
        <v>17693196.416666668</v>
      </c>
      <c r="I178" s="44">
        <f>I176</f>
        <v>97839.583333333372</v>
      </c>
      <c r="J178" s="44"/>
    </row>
    <row r="179" spans="1:10" x14ac:dyDescent="0.25">
      <c r="A179" s="46">
        <v>43126</v>
      </c>
      <c r="B179" s="47">
        <v>4</v>
      </c>
      <c r="C179" s="47" t="s">
        <v>134</v>
      </c>
      <c r="D179" s="38">
        <v>33500</v>
      </c>
      <c r="E179" s="21">
        <v>0.1</v>
      </c>
      <c r="F179" s="51">
        <v>26520.833333333336</v>
      </c>
      <c r="G179" s="38">
        <f>E179*D179*6/12</f>
        <v>1675</v>
      </c>
      <c r="H179" s="38">
        <f>G179+F179</f>
        <v>28195.833333333336</v>
      </c>
      <c r="I179" s="38">
        <f t="shared" ref="I179:I186" si="36">D179-H179</f>
        <v>5304.1666666666642</v>
      </c>
      <c r="J179" s="38"/>
    </row>
    <row r="180" spans="1:10" x14ac:dyDescent="0.25">
      <c r="A180" s="46">
        <v>43138</v>
      </c>
      <c r="B180" s="47">
        <v>1</v>
      </c>
      <c r="C180" s="50" t="s">
        <v>135</v>
      </c>
      <c r="D180" s="38">
        <v>19500</v>
      </c>
      <c r="E180" s="21">
        <v>0.1</v>
      </c>
      <c r="F180" s="51">
        <v>15437.5</v>
      </c>
      <c r="G180" s="38">
        <f t="shared" ref="G180:G186" si="37">E180*D180*6/12</f>
        <v>975</v>
      </c>
      <c r="H180" s="38">
        <f t="shared" ref="H180:H186" si="38">G180+F180</f>
        <v>16412.5</v>
      </c>
      <c r="I180" s="38">
        <f t="shared" si="36"/>
        <v>3087.5</v>
      </c>
      <c r="J180" s="38"/>
    </row>
    <row r="181" spans="1:10" x14ac:dyDescent="0.25">
      <c r="A181" s="46">
        <v>43252</v>
      </c>
      <c r="B181" s="47">
        <v>4</v>
      </c>
      <c r="C181" s="50" t="s">
        <v>114</v>
      </c>
      <c r="D181" s="38">
        <v>80000</v>
      </c>
      <c r="E181" s="21">
        <v>0.1</v>
      </c>
      <c r="F181" s="51">
        <v>60666.666666666672</v>
      </c>
      <c r="G181" s="38">
        <f t="shared" si="37"/>
        <v>4000</v>
      </c>
      <c r="H181" s="38">
        <f t="shared" si="38"/>
        <v>64666.666666666672</v>
      </c>
      <c r="I181" s="38">
        <f t="shared" si="36"/>
        <v>15333.333333333328</v>
      </c>
      <c r="J181" s="38"/>
    </row>
    <row r="182" spans="1:10" x14ac:dyDescent="0.25">
      <c r="A182" s="46">
        <v>43402</v>
      </c>
      <c r="B182" s="47">
        <v>1</v>
      </c>
      <c r="C182" s="47" t="s">
        <v>136</v>
      </c>
      <c r="D182" s="38">
        <v>45820</v>
      </c>
      <c r="E182" s="21">
        <v>0.1</v>
      </c>
      <c r="F182" s="51">
        <v>32837.666666666672</v>
      </c>
      <c r="G182" s="38">
        <f t="shared" si="37"/>
        <v>2291</v>
      </c>
      <c r="H182" s="38">
        <f t="shared" si="38"/>
        <v>35128.666666666672</v>
      </c>
      <c r="I182" s="38">
        <f t="shared" si="36"/>
        <v>10691.333333333328</v>
      </c>
      <c r="J182" s="38"/>
    </row>
    <row r="183" spans="1:10" x14ac:dyDescent="0.25">
      <c r="A183" s="46">
        <v>43446</v>
      </c>
      <c r="B183" s="47">
        <v>4</v>
      </c>
      <c r="C183" s="47" t="s">
        <v>137</v>
      </c>
      <c r="D183" s="38">
        <v>86000</v>
      </c>
      <c r="E183" s="21">
        <v>0.1</v>
      </c>
      <c r="F183" s="51">
        <v>60916.666666666664</v>
      </c>
      <c r="G183" s="38">
        <f t="shared" si="37"/>
        <v>4300</v>
      </c>
      <c r="H183" s="38">
        <f t="shared" si="38"/>
        <v>65216.666666666664</v>
      </c>
      <c r="I183" s="38">
        <f t="shared" si="36"/>
        <v>20783.333333333336</v>
      </c>
      <c r="J183" s="38"/>
    </row>
    <row r="184" spans="1:10" x14ac:dyDescent="0.25">
      <c r="A184" s="46">
        <v>43447</v>
      </c>
      <c r="B184" s="47">
        <v>1</v>
      </c>
      <c r="C184" s="47" t="s">
        <v>138</v>
      </c>
      <c r="D184" s="38">
        <v>8000</v>
      </c>
      <c r="E184" s="21">
        <v>0.1</v>
      </c>
      <c r="F184" s="51">
        <v>5666.6666666666661</v>
      </c>
      <c r="G184" s="38">
        <f t="shared" si="37"/>
        <v>400</v>
      </c>
      <c r="H184" s="38">
        <f t="shared" si="38"/>
        <v>6066.6666666666661</v>
      </c>
      <c r="I184" s="38">
        <f t="shared" si="36"/>
        <v>1933.3333333333339</v>
      </c>
      <c r="J184" s="38"/>
    </row>
    <row r="185" spans="1:10" x14ac:dyDescent="0.25">
      <c r="A185" s="46">
        <v>43452</v>
      </c>
      <c r="B185" s="47">
        <v>2</v>
      </c>
      <c r="C185" s="47" t="s">
        <v>139</v>
      </c>
      <c r="D185" s="38">
        <v>1231920</v>
      </c>
      <c r="E185" s="21">
        <v>0.1</v>
      </c>
      <c r="F185" s="51">
        <v>862344</v>
      </c>
      <c r="G185" s="38">
        <f t="shared" si="37"/>
        <v>61596</v>
      </c>
      <c r="H185" s="38">
        <f t="shared" si="38"/>
        <v>923940</v>
      </c>
      <c r="I185" s="38">
        <f t="shared" si="36"/>
        <v>307980</v>
      </c>
      <c r="J185" s="38"/>
    </row>
    <row r="186" spans="1:10" x14ac:dyDescent="0.25">
      <c r="A186" s="46">
        <v>43102</v>
      </c>
      <c r="B186" s="47">
        <v>1</v>
      </c>
      <c r="C186" s="47" t="s">
        <v>140</v>
      </c>
      <c r="D186" s="38">
        <v>3800</v>
      </c>
      <c r="E186" s="21">
        <v>0.1</v>
      </c>
      <c r="F186" s="51">
        <v>3040</v>
      </c>
      <c r="G186" s="38">
        <f t="shared" si="37"/>
        <v>190</v>
      </c>
      <c r="H186" s="38">
        <f t="shared" si="38"/>
        <v>3230</v>
      </c>
      <c r="I186" s="38">
        <f t="shared" si="36"/>
        <v>570</v>
      </c>
      <c r="J186" s="38"/>
    </row>
    <row r="187" spans="1:10" ht="13" x14ac:dyDescent="0.3">
      <c r="A187" s="42">
        <v>43465</v>
      </c>
      <c r="B187" s="43"/>
      <c r="C187" s="43" t="s">
        <v>141</v>
      </c>
      <c r="D187" s="44">
        <f>SUM(D178:D186)</f>
        <v>19299576</v>
      </c>
      <c r="E187" s="45">
        <v>0.1</v>
      </c>
      <c r="F187" s="44">
        <f>SUM(F178:F186)</f>
        <v>18601618.800000008</v>
      </c>
      <c r="G187" s="44">
        <f t="shared" ref="G187:H187" si="39">SUM(G178:G186)</f>
        <v>234434.6166666667</v>
      </c>
      <c r="H187" s="44">
        <f t="shared" si="39"/>
        <v>18836053.416666672</v>
      </c>
      <c r="I187" s="44">
        <f>SUM(I178:I186)</f>
        <v>463522.58333333337</v>
      </c>
      <c r="J187" s="44"/>
    </row>
    <row r="196" spans="1:10" x14ac:dyDescent="0.25">
      <c r="F196" s="58"/>
      <c r="G196" s="58"/>
    </row>
    <row r="197" spans="1:10" ht="13" x14ac:dyDescent="0.3">
      <c r="A197" s="42">
        <v>43466</v>
      </c>
      <c r="B197" s="43"/>
      <c r="C197" s="43" t="s">
        <v>142</v>
      </c>
      <c r="D197" s="44">
        <f>D187</f>
        <v>19299576</v>
      </c>
      <c r="E197" s="45">
        <v>0.1</v>
      </c>
      <c r="F197" s="44">
        <f>F187</f>
        <v>18601618.800000008</v>
      </c>
      <c r="G197" s="44">
        <f t="shared" ref="G197:H197" si="40">G187</f>
        <v>234434.6166666667</v>
      </c>
      <c r="H197" s="44">
        <f t="shared" si="40"/>
        <v>18836053.416666672</v>
      </c>
      <c r="I197" s="44">
        <f>I187</f>
        <v>463522.58333333337</v>
      </c>
      <c r="J197" s="44"/>
    </row>
    <row r="198" spans="1:10" x14ac:dyDescent="0.25">
      <c r="A198" s="46">
        <v>43495</v>
      </c>
      <c r="B198" s="47">
        <v>1</v>
      </c>
      <c r="C198" s="47" t="s">
        <v>143</v>
      </c>
      <c r="D198" s="38">
        <v>90000</v>
      </c>
      <c r="E198" s="21">
        <v>0.1</v>
      </c>
      <c r="F198" s="51">
        <v>62250</v>
      </c>
      <c r="G198" s="38">
        <f>E198*D198*6/12</f>
        <v>4500</v>
      </c>
      <c r="H198" s="38">
        <f>G198+F198</f>
        <v>66750</v>
      </c>
      <c r="I198" s="38">
        <f>D198-H198</f>
        <v>23250</v>
      </c>
      <c r="J198" s="38"/>
    </row>
    <row r="199" spans="1:10" x14ac:dyDescent="0.25">
      <c r="A199" s="46">
        <v>43522</v>
      </c>
      <c r="B199" s="47">
        <v>20</v>
      </c>
      <c r="C199" s="50" t="s">
        <v>144</v>
      </c>
      <c r="D199" s="38">
        <v>100000</v>
      </c>
      <c r="E199" s="21">
        <v>0.1</v>
      </c>
      <c r="F199" s="51">
        <v>68333.333333333343</v>
      </c>
      <c r="G199" s="38">
        <f t="shared" ref="G199:G217" si="41">E199*D199*6/12</f>
        <v>5000</v>
      </c>
      <c r="H199" s="38">
        <f t="shared" ref="H199:H217" si="42">G199+F199</f>
        <v>73333.333333333343</v>
      </c>
      <c r="I199" s="38">
        <f t="shared" ref="I199:I217" si="43">D199-H199</f>
        <v>26666.666666666657</v>
      </c>
      <c r="J199" s="38"/>
    </row>
    <row r="200" spans="1:10" x14ac:dyDescent="0.25">
      <c r="A200" s="46">
        <v>43544</v>
      </c>
      <c r="B200" s="47">
        <v>1</v>
      </c>
      <c r="C200" s="50" t="s">
        <v>145</v>
      </c>
      <c r="D200" s="38">
        <v>22000</v>
      </c>
      <c r="E200" s="21">
        <v>0.1</v>
      </c>
      <c r="F200" s="51">
        <v>14850</v>
      </c>
      <c r="G200" s="38">
        <f t="shared" si="41"/>
        <v>1100</v>
      </c>
      <c r="H200" s="38">
        <f t="shared" si="42"/>
        <v>15950</v>
      </c>
      <c r="I200" s="38">
        <f t="shared" si="43"/>
        <v>6050</v>
      </c>
      <c r="J200" s="38"/>
    </row>
    <row r="201" spans="1:10" x14ac:dyDescent="0.25">
      <c r="A201" s="46">
        <v>43615</v>
      </c>
      <c r="B201" s="47">
        <v>1</v>
      </c>
      <c r="C201" s="47" t="s">
        <v>146</v>
      </c>
      <c r="D201" s="38">
        <v>5000</v>
      </c>
      <c r="E201" s="21">
        <v>0.1</v>
      </c>
      <c r="F201" s="51">
        <v>3291.666666666667</v>
      </c>
      <c r="G201" s="38">
        <f t="shared" si="41"/>
        <v>250</v>
      </c>
      <c r="H201" s="38">
        <f t="shared" si="42"/>
        <v>3541.666666666667</v>
      </c>
      <c r="I201" s="38">
        <f t="shared" si="43"/>
        <v>1458.333333333333</v>
      </c>
      <c r="J201" s="38"/>
    </row>
    <row r="202" spans="1:10" x14ac:dyDescent="0.25">
      <c r="A202" s="46">
        <v>43615</v>
      </c>
      <c r="B202" s="47">
        <v>1</v>
      </c>
      <c r="C202" s="47" t="s">
        <v>147</v>
      </c>
      <c r="D202" s="38">
        <v>60000</v>
      </c>
      <c r="E202" s="21">
        <v>0.1</v>
      </c>
      <c r="F202" s="51">
        <v>39500</v>
      </c>
      <c r="G202" s="38">
        <f t="shared" si="41"/>
        <v>3000</v>
      </c>
      <c r="H202" s="38">
        <f t="shared" si="42"/>
        <v>42500</v>
      </c>
      <c r="I202" s="38">
        <f t="shared" si="43"/>
        <v>17500</v>
      </c>
      <c r="J202" s="38"/>
    </row>
    <row r="203" spans="1:10" x14ac:dyDescent="0.25">
      <c r="A203" s="46">
        <v>43634</v>
      </c>
      <c r="B203" s="47">
        <v>2</v>
      </c>
      <c r="C203" s="47" t="s">
        <v>148</v>
      </c>
      <c r="D203" s="38">
        <v>1129260</v>
      </c>
      <c r="E203" s="21">
        <v>0.1</v>
      </c>
      <c r="F203" s="51">
        <v>621093</v>
      </c>
      <c r="G203" s="38">
        <f t="shared" si="41"/>
        <v>56463</v>
      </c>
      <c r="H203" s="38">
        <f t="shared" si="42"/>
        <v>677556</v>
      </c>
      <c r="I203" s="38">
        <f t="shared" si="43"/>
        <v>451704</v>
      </c>
      <c r="J203" s="38"/>
    </row>
    <row r="204" spans="1:10" x14ac:dyDescent="0.25">
      <c r="A204" s="46">
        <v>43634</v>
      </c>
      <c r="B204" s="47">
        <v>2</v>
      </c>
      <c r="C204" s="47" t="s">
        <v>148</v>
      </c>
      <c r="D204" s="38">
        <v>1129260</v>
      </c>
      <c r="E204" s="21">
        <v>0.1</v>
      </c>
      <c r="F204" s="51">
        <v>56463</v>
      </c>
      <c r="G204" s="38"/>
      <c r="H204" s="38">
        <f t="shared" si="42"/>
        <v>56463</v>
      </c>
      <c r="I204" s="38">
        <f t="shared" si="43"/>
        <v>1072797</v>
      </c>
      <c r="J204" s="38"/>
    </row>
    <row r="205" spans="1:10" x14ac:dyDescent="0.25">
      <c r="A205" s="46">
        <v>43643</v>
      </c>
      <c r="B205" s="47">
        <v>1</v>
      </c>
      <c r="C205" s="47" t="s">
        <v>149</v>
      </c>
      <c r="D205" s="38">
        <v>6728</v>
      </c>
      <c r="E205" s="21">
        <v>0.1</v>
      </c>
      <c r="F205" s="51">
        <v>4373.2000000000007</v>
      </c>
      <c r="G205" s="38">
        <f t="shared" si="41"/>
        <v>336.40000000000003</v>
      </c>
      <c r="H205" s="38">
        <f t="shared" si="42"/>
        <v>4709.6000000000004</v>
      </c>
      <c r="I205" s="38">
        <f t="shared" si="43"/>
        <v>2018.3999999999996</v>
      </c>
      <c r="J205" s="38"/>
    </row>
    <row r="206" spans="1:10" x14ac:dyDescent="0.25">
      <c r="A206" s="46">
        <v>43643</v>
      </c>
      <c r="B206" s="47">
        <v>2</v>
      </c>
      <c r="C206" s="47" t="s">
        <v>150</v>
      </c>
      <c r="D206" s="38">
        <v>62000</v>
      </c>
      <c r="E206" s="21">
        <v>0.1</v>
      </c>
      <c r="F206" s="51">
        <v>40300</v>
      </c>
      <c r="G206" s="38">
        <f t="shared" si="41"/>
        <v>3100</v>
      </c>
      <c r="H206" s="38">
        <f t="shared" si="42"/>
        <v>43400</v>
      </c>
      <c r="I206" s="38">
        <f t="shared" si="43"/>
        <v>18600</v>
      </c>
      <c r="J206" s="38"/>
    </row>
    <row r="207" spans="1:10" x14ac:dyDescent="0.25">
      <c r="A207" s="46">
        <v>43655</v>
      </c>
      <c r="B207" s="47">
        <v>1</v>
      </c>
      <c r="C207" s="47" t="s">
        <v>151</v>
      </c>
      <c r="D207" s="38">
        <v>62850</v>
      </c>
      <c r="E207" s="21">
        <v>0.1</v>
      </c>
      <c r="F207" s="51">
        <v>40852.5</v>
      </c>
      <c r="G207" s="38">
        <f t="shared" si="41"/>
        <v>3142.5</v>
      </c>
      <c r="H207" s="38">
        <f t="shared" si="42"/>
        <v>43995</v>
      </c>
      <c r="I207" s="38">
        <f t="shared" si="43"/>
        <v>18855</v>
      </c>
      <c r="J207" s="38"/>
    </row>
    <row r="208" spans="1:10" x14ac:dyDescent="0.25">
      <c r="A208" s="46">
        <v>43655</v>
      </c>
      <c r="B208" s="47">
        <v>4</v>
      </c>
      <c r="C208" s="47" t="s">
        <v>152</v>
      </c>
      <c r="D208" s="38">
        <v>2258520</v>
      </c>
      <c r="E208" s="21">
        <v>0.1</v>
      </c>
      <c r="F208" s="51">
        <v>1468038</v>
      </c>
      <c r="G208" s="38">
        <f t="shared" si="41"/>
        <v>112926</v>
      </c>
      <c r="H208" s="38">
        <f t="shared" si="42"/>
        <v>1580964</v>
      </c>
      <c r="I208" s="38">
        <f t="shared" si="43"/>
        <v>677556</v>
      </c>
      <c r="J208" s="38"/>
    </row>
    <row r="209" spans="1:10" x14ac:dyDescent="0.25">
      <c r="A209" s="46">
        <v>43657</v>
      </c>
      <c r="B209" s="47">
        <v>1</v>
      </c>
      <c r="C209" s="47" t="s">
        <v>153</v>
      </c>
      <c r="D209" s="38">
        <v>45000</v>
      </c>
      <c r="E209" s="21">
        <v>0.1</v>
      </c>
      <c r="F209" s="51">
        <v>29250</v>
      </c>
      <c r="G209" s="38">
        <f t="shared" si="41"/>
        <v>2250</v>
      </c>
      <c r="H209" s="38">
        <f t="shared" si="42"/>
        <v>31500</v>
      </c>
      <c r="I209" s="38">
        <f t="shared" si="43"/>
        <v>13500</v>
      </c>
      <c r="J209" s="38"/>
    </row>
    <row r="210" spans="1:10" x14ac:dyDescent="0.25">
      <c r="A210" s="46">
        <v>43664</v>
      </c>
      <c r="B210" s="47">
        <v>6</v>
      </c>
      <c r="C210" s="47" t="s">
        <v>154</v>
      </c>
      <c r="D210" s="38">
        <v>132000</v>
      </c>
      <c r="E210" s="21">
        <v>0.1</v>
      </c>
      <c r="F210" s="51">
        <v>84700</v>
      </c>
      <c r="G210" s="38">
        <f t="shared" si="41"/>
        <v>6600</v>
      </c>
      <c r="H210" s="38">
        <f t="shared" si="42"/>
        <v>91300</v>
      </c>
      <c r="I210" s="38">
        <f t="shared" si="43"/>
        <v>40700</v>
      </c>
      <c r="J210" s="38"/>
    </row>
    <row r="211" spans="1:10" x14ac:dyDescent="0.25">
      <c r="A211" s="46">
        <v>43704</v>
      </c>
      <c r="B211" s="47">
        <v>7</v>
      </c>
      <c r="C211" s="47" t="s">
        <v>155</v>
      </c>
      <c r="D211" s="38">
        <v>154000</v>
      </c>
      <c r="E211" s="21">
        <v>0.1</v>
      </c>
      <c r="F211" s="51">
        <v>97533.333333333328</v>
      </c>
      <c r="G211" s="38">
        <f t="shared" si="41"/>
        <v>7700</v>
      </c>
      <c r="H211" s="38">
        <f t="shared" si="42"/>
        <v>105233.33333333333</v>
      </c>
      <c r="I211" s="38">
        <f t="shared" si="43"/>
        <v>48766.666666666672</v>
      </c>
      <c r="J211" s="38"/>
    </row>
    <row r="212" spans="1:10" x14ac:dyDescent="0.25">
      <c r="A212" s="46">
        <v>43706</v>
      </c>
      <c r="B212" s="47">
        <v>20</v>
      </c>
      <c r="C212" s="47" t="s">
        <v>156</v>
      </c>
      <c r="D212" s="38">
        <v>24000</v>
      </c>
      <c r="E212" s="21">
        <v>0.1</v>
      </c>
      <c r="F212" s="51">
        <v>15200</v>
      </c>
      <c r="G212" s="38">
        <f t="shared" si="41"/>
        <v>1200</v>
      </c>
      <c r="H212" s="38">
        <f t="shared" si="42"/>
        <v>16400</v>
      </c>
      <c r="I212" s="38">
        <f t="shared" si="43"/>
        <v>7600</v>
      </c>
      <c r="J212" s="38"/>
    </row>
    <row r="213" spans="1:10" x14ac:dyDescent="0.25">
      <c r="A213" s="46">
        <v>43719</v>
      </c>
      <c r="B213" s="47">
        <v>3</v>
      </c>
      <c r="C213" s="47" t="s">
        <v>157</v>
      </c>
      <c r="D213" s="38">
        <v>57000</v>
      </c>
      <c r="E213" s="21">
        <v>0.1</v>
      </c>
      <c r="F213" s="51">
        <v>36100</v>
      </c>
      <c r="G213" s="38">
        <f t="shared" si="41"/>
        <v>2850</v>
      </c>
      <c r="H213" s="38">
        <f t="shared" si="42"/>
        <v>38950</v>
      </c>
      <c r="I213" s="38">
        <f t="shared" si="43"/>
        <v>18050</v>
      </c>
      <c r="J213" s="38"/>
    </row>
    <row r="214" spans="1:10" x14ac:dyDescent="0.25">
      <c r="A214" s="46">
        <v>43725</v>
      </c>
      <c r="B214" s="47">
        <v>1</v>
      </c>
      <c r="C214" s="47" t="s">
        <v>158</v>
      </c>
      <c r="D214" s="38">
        <v>96000</v>
      </c>
      <c r="E214" s="21">
        <v>0.1</v>
      </c>
      <c r="F214" s="51">
        <v>60000</v>
      </c>
      <c r="G214" s="38">
        <f t="shared" si="41"/>
        <v>4800</v>
      </c>
      <c r="H214" s="38">
        <f t="shared" si="42"/>
        <v>64800</v>
      </c>
      <c r="I214" s="38">
        <f t="shared" si="43"/>
        <v>31200</v>
      </c>
      <c r="J214" s="38"/>
    </row>
    <row r="215" spans="1:10" x14ac:dyDescent="0.25">
      <c r="A215" s="46">
        <v>43727</v>
      </c>
      <c r="B215" s="47">
        <v>2</v>
      </c>
      <c r="C215" s="47" t="s">
        <v>159</v>
      </c>
      <c r="D215" s="38">
        <v>46000</v>
      </c>
      <c r="E215" s="21">
        <v>0.1</v>
      </c>
      <c r="F215" s="51">
        <v>28750</v>
      </c>
      <c r="G215" s="38">
        <f t="shared" si="41"/>
        <v>2300</v>
      </c>
      <c r="H215" s="38">
        <f t="shared" si="42"/>
        <v>31050</v>
      </c>
      <c r="I215" s="38">
        <f t="shared" si="43"/>
        <v>14950</v>
      </c>
      <c r="J215" s="38"/>
    </row>
    <row r="216" spans="1:10" x14ac:dyDescent="0.25">
      <c r="A216" s="46">
        <v>43767</v>
      </c>
      <c r="B216" s="47">
        <v>2</v>
      </c>
      <c r="C216" s="47" t="s">
        <v>160</v>
      </c>
      <c r="D216" s="38">
        <v>63500</v>
      </c>
      <c r="E216" s="21">
        <v>0.1</v>
      </c>
      <c r="F216" s="51">
        <v>39158.333333333328</v>
      </c>
      <c r="G216" s="38">
        <f t="shared" si="41"/>
        <v>3175</v>
      </c>
      <c r="H216" s="38">
        <f t="shared" si="42"/>
        <v>42333.333333333328</v>
      </c>
      <c r="I216" s="38">
        <f t="shared" si="43"/>
        <v>21166.666666666672</v>
      </c>
      <c r="J216" s="38"/>
    </row>
    <row r="217" spans="1:10" x14ac:dyDescent="0.25">
      <c r="A217" s="46">
        <v>43768</v>
      </c>
      <c r="B217" s="47">
        <v>2</v>
      </c>
      <c r="C217" s="47" t="s">
        <v>161</v>
      </c>
      <c r="D217" s="38">
        <v>39000</v>
      </c>
      <c r="E217" s="21">
        <v>0.1</v>
      </c>
      <c r="F217" s="51">
        <v>24050</v>
      </c>
      <c r="G217" s="38">
        <f t="shared" si="41"/>
        <v>1950</v>
      </c>
      <c r="H217" s="38">
        <f t="shared" si="42"/>
        <v>26000</v>
      </c>
      <c r="I217" s="38">
        <f t="shared" si="43"/>
        <v>13000</v>
      </c>
      <c r="J217" s="38"/>
    </row>
    <row r="218" spans="1:10" ht="13" x14ac:dyDescent="0.3">
      <c r="A218" s="42">
        <v>43830</v>
      </c>
      <c r="B218" s="43"/>
      <c r="C218" s="43" t="s">
        <v>162</v>
      </c>
      <c r="D218" s="44">
        <f>SUM(D197:D217)</f>
        <v>24881694</v>
      </c>
      <c r="E218" s="45">
        <v>0.1</v>
      </c>
      <c r="F218" s="44">
        <f>SUM(F197:F217)</f>
        <v>21435705.166666672</v>
      </c>
      <c r="G218" s="44">
        <f t="shared" ref="G218:H218" si="44">SUM(G197:G217)</f>
        <v>457077.51666666672</v>
      </c>
      <c r="H218" s="44">
        <f t="shared" si="44"/>
        <v>21892782.683333337</v>
      </c>
      <c r="I218" s="44">
        <f>SUM(I197:I217)</f>
        <v>2988911.3166666664</v>
      </c>
      <c r="J218" s="44"/>
    </row>
    <row r="219" spans="1:10" x14ac:dyDescent="0.25">
      <c r="D219" s="58"/>
      <c r="F219" s="58"/>
    </row>
    <row r="220" spans="1:10" x14ac:dyDescent="0.25">
      <c r="D220" s="58"/>
      <c r="E220" s="58"/>
      <c r="F220" s="58"/>
    </row>
    <row r="224" spans="1:10" ht="13" x14ac:dyDescent="0.3">
      <c r="A224" s="42" t="s">
        <v>163</v>
      </c>
      <c r="B224" s="43"/>
      <c r="C224" s="43" t="s">
        <v>164</v>
      </c>
      <c r="D224" s="44">
        <f>D218</f>
        <v>24881694</v>
      </c>
      <c r="E224" s="45">
        <v>0.1</v>
      </c>
      <c r="F224" s="44">
        <f>F218</f>
        <v>21435705.166666672</v>
      </c>
      <c r="G224" s="44">
        <f t="shared" ref="G224:H224" si="45">G218</f>
        <v>457077.51666666672</v>
      </c>
      <c r="H224" s="44">
        <f t="shared" si="45"/>
        <v>21892782.683333337</v>
      </c>
      <c r="I224" s="44">
        <f>I218</f>
        <v>2988911.3166666664</v>
      </c>
      <c r="J224" s="44"/>
    </row>
    <row r="225" spans="1:10" x14ac:dyDescent="0.25">
      <c r="A225" s="46">
        <v>43839</v>
      </c>
      <c r="B225" s="47">
        <v>2</v>
      </c>
      <c r="C225" s="47" t="s">
        <v>165</v>
      </c>
      <c r="D225" s="38">
        <v>-1129260</v>
      </c>
      <c r="E225" s="21">
        <v>0.1</v>
      </c>
      <c r="F225" s="51">
        <v>-56463</v>
      </c>
      <c r="G225" s="38">
        <v>0</v>
      </c>
      <c r="H225" s="38">
        <f>G225+F225</f>
        <v>-56463</v>
      </c>
      <c r="I225" s="38">
        <f>D225-H225</f>
        <v>-1072797</v>
      </c>
      <c r="J225" s="38"/>
    </row>
    <row r="226" spans="1:10" x14ac:dyDescent="0.25">
      <c r="A226" s="46">
        <v>43866</v>
      </c>
      <c r="B226" s="47">
        <v>1</v>
      </c>
      <c r="C226" s="50" t="s">
        <v>166</v>
      </c>
      <c r="D226" s="38">
        <v>475000</v>
      </c>
      <c r="E226" s="21">
        <v>0.1</v>
      </c>
      <c r="F226" s="51">
        <v>281041.66666666663</v>
      </c>
      <c r="G226" s="38">
        <f>E226*D226*6/12</f>
        <v>23750</v>
      </c>
      <c r="H226" s="38">
        <f t="shared" ref="H226:H244" si="46">G226+F226</f>
        <v>304791.66666666663</v>
      </c>
      <c r="I226" s="38">
        <f t="shared" ref="I226:I244" si="47">D226-H226</f>
        <v>170208.33333333337</v>
      </c>
      <c r="J226" s="38"/>
    </row>
    <row r="227" spans="1:10" x14ac:dyDescent="0.25">
      <c r="A227" s="46">
        <v>43878</v>
      </c>
      <c r="B227" s="47">
        <v>1</v>
      </c>
      <c r="C227" s="50" t="s">
        <v>167</v>
      </c>
      <c r="D227" s="38">
        <v>92500</v>
      </c>
      <c r="E227" s="21">
        <v>0.1</v>
      </c>
      <c r="F227" s="51">
        <v>53958.333333333328</v>
      </c>
      <c r="G227" s="38">
        <f t="shared" ref="G227:G244" si="48">E227*D227*6/12</f>
        <v>4625</v>
      </c>
      <c r="H227" s="38">
        <f t="shared" si="46"/>
        <v>58583.333333333328</v>
      </c>
      <c r="I227" s="38">
        <f t="shared" si="47"/>
        <v>33916.666666666672</v>
      </c>
      <c r="J227" s="38"/>
    </row>
    <row r="228" spans="1:10" x14ac:dyDescent="0.25">
      <c r="A228" s="46">
        <v>43892</v>
      </c>
      <c r="B228" s="47">
        <v>1</v>
      </c>
      <c r="C228" s="47" t="s">
        <v>168</v>
      </c>
      <c r="D228" s="38">
        <v>84400</v>
      </c>
      <c r="E228" s="21">
        <v>0.1</v>
      </c>
      <c r="F228" s="51">
        <v>49233.333333333328</v>
      </c>
      <c r="G228" s="38">
        <f t="shared" si="48"/>
        <v>4220</v>
      </c>
      <c r="H228" s="38">
        <f t="shared" si="46"/>
        <v>53453.333333333328</v>
      </c>
      <c r="I228" s="38">
        <f t="shared" si="47"/>
        <v>30946.666666666672</v>
      </c>
      <c r="J228" s="38"/>
    </row>
    <row r="229" spans="1:10" x14ac:dyDescent="0.25">
      <c r="A229" s="46">
        <v>43899</v>
      </c>
      <c r="B229" s="47">
        <v>1</v>
      </c>
      <c r="C229" s="47" t="s">
        <v>168</v>
      </c>
      <c r="D229" s="38">
        <v>84600</v>
      </c>
      <c r="E229" s="21">
        <v>0.1</v>
      </c>
      <c r="F229" s="51">
        <v>49350</v>
      </c>
      <c r="G229" s="38">
        <f t="shared" si="48"/>
        <v>4230</v>
      </c>
      <c r="H229" s="38">
        <f t="shared" si="46"/>
        <v>53580</v>
      </c>
      <c r="I229" s="38">
        <f t="shared" si="47"/>
        <v>31020</v>
      </c>
      <c r="J229" s="38"/>
    </row>
    <row r="230" spans="1:10" x14ac:dyDescent="0.25">
      <c r="A230" s="46">
        <v>43900</v>
      </c>
      <c r="B230" s="47">
        <v>1</v>
      </c>
      <c r="C230" s="47" t="s">
        <v>169</v>
      </c>
      <c r="D230" s="38">
        <v>3500</v>
      </c>
      <c r="E230" s="21">
        <v>0.1</v>
      </c>
      <c r="F230" s="51">
        <v>2041.6666666666667</v>
      </c>
      <c r="G230" s="38">
        <f t="shared" si="48"/>
        <v>175</v>
      </c>
      <c r="H230" s="38">
        <f t="shared" si="46"/>
        <v>2216.666666666667</v>
      </c>
      <c r="I230" s="38">
        <f t="shared" si="47"/>
        <v>1283.333333333333</v>
      </c>
      <c r="J230" s="38"/>
    </row>
    <row r="231" spans="1:10" x14ac:dyDescent="0.25">
      <c r="A231" s="46">
        <v>43921</v>
      </c>
      <c r="B231" s="47">
        <v>4</v>
      </c>
      <c r="C231" s="47" t="s">
        <v>170</v>
      </c>
      <c r="D231" s="38">
        <v>1316000</v>
      </c>
      <c r="E231" s="21">
        <v>0.1</v>
      </c>
      <c r="F231" s="51">
        <v>756700</v>
      </c>
      <c r="G231" s="38">
        <f t="shared" si="48"/>
        <v>65800</v>
      </c>
      <c r="H231" s="38">
        <f t="shared" si="46"/>
        <v>822500</v>
      </c>
      <c r="I231" s="38">
        <f t="shared" si="47"/>
        <v>493500</v>
      </c>
      <c r="J231" s="38"/>
    </row>
    <row r="232" spans="1:10" x14ac:dyDescent="0.25">
      <c r="A232" s="46">
        <v>43931</v>
      </c>
      <c r="B232" s="47">
        <v>1</v>
      </c>
      <c r="C232" s="47" t="s">
        <v>171</v>
      </c>
      <c r="D232" s="38">
        <v>121000</v>
      </c>
      <c r="E232" s="21">
        <v>0.1</v>
      </c>
      <c r="F232" s="51">
        <v>69575</v>
      </c>
      <c r="G232" s="38">
        <f t="shared" si="48"/>
        <v>6050</v>
      </c>
      <c r="H232" s="38">
        <f t="shared" si="46"/>
        <v>75625</v>
      </c>
      <c r="I232" s="38">
        <f t="shared" si="47"/>
        <v>45375</v>
      </c>
      <c r="J232" s="38"/>
    </row>
    <row r="233" spans="1:10" x14ac:dyDescent="0.25">
      <c r="A233" s="46">
        <v>43934</v>
      </c>
      <c r="B233" s="47">
        <v>1</v>
      </c>
      <c r="C233" s="47" t="s">
        <v>172</v>
      </c>
      <c r="D233" s="38">
        <v>35000</v>
      </c>
      <c r="E233" s="21">
        <v>0.1</v>
      </c>
      <c r="F233" s="51">
        <v>20125</v>
      </c>
      <c r="G233" s="38">
        <f t="shared" si="48"/>
        <v>1750</v>
      </c>
      <c r="H233" s="38">
        <f t="shared" si="46"/>
        <v>21875</v>
      </c>
      <c r="I233" s="38">
        <f t="shared" si="47"/>
        <v>13125</v>
      </c>
      <c r="J233" s="38"/>
    </row>
    <row r="234" spans="1:10" x14ac:dyDescent="0.25">
      <c r="A234" s="46">
        <v>40316</v>
      </c>
      <c r="B234" s="47">
        <v>4</v>
      </c>
      <c r="C234" s="47" t="s">
        <v>173</v>
      </c>
      <c r="D234" s="38">
        <v>27000</v>
      </c>
      <c r="E234" s="21">
        <v>0.1</v>
      </c>
      <c r="F234" s="51">
        <v>15300</v>
      </c>
      <c r="G234" s="38">
        <f t="shared" si="48"/>
        <v>1350</v>
      </c>
      <c r="H234" s="38">
        <f t="shared" si="46"/>
        <v>16650</v>
      </c>
      <c r="I234" s="38">
        <f t="shared" si="47"/>
        <v>10350</v>
      </c>
      <c r="J234" s="38"/>
    </row>
    <row r="235" spans="1:10" x14ac:dyDescent="0.25">
      <c r="A235" s="46">
        <v>43971</v>
      </c>
      <c r="B235" s="47">
        <v>1</v>
      </c>
      <c r="C235" s="47" t="s">
        <v>174</v>
      </c>
      <c r="D235" s="38">
        <v>177300</v>
      </c>
      <c r="E235" s="21">
        <v>0.1</v>
      </c>
      <c r="F235" s="51">
        <v>100470</v>
      </c>
      <c r="G235" s="38">
        <f t="shared" si="48"/>
        <v>8865</v>
      </c>
      <c r="H235" s="38">
        <f t="shared" si="46"/>
        <v>109335</v>
      </c>
      <c r="I235" s="38">
        <f t="shared" si="47"/>
        <v>67965</v>
      </c>
      <c r="J235" s="38"/>
    </row>
    <row r="236" spans="1:10" x14ac:dyDescent="0.25">
      <c r="A236" s="46">
        <v>43978</v>
      </c>
      <c r="B236" s="47">
        <v>2</v>
      </c>
      <c r="C236" s="47" t="s">
        <v>175</v>
      </c>
      <c r="D236" s="38">
        <v>60000</v>
      </c>
      <c r="E236" s="21">
        <v>0.1</v>
      </c>
      <c r="F236" s="51">
        <v>33000</v>
      </c>
      <c r="G236" s="38">
        <f t="shared" si="48"/>
        <v>3000</v>
      </c>
      <c r="H236" s="38">
        <f t="shared" si="46"/>
        <v>36000</v>
      </c>
      <c r="I236" s="38">
        <f t="shared" si="47"/>
        <v>24000</v>
      </c>
      <c r="J236" s="38"/>
    </row>
    <row r="237" spans="1:10" x14ac:dyDescent="0.25">
      <c r="A237" s="46">
        <v>43980</v>
      </c>
      <c r="B237" s="47">
        <v>1</v>
      </c>
      <c r="C237" s="47" t="s">
        <v>176</v>
      </c>
      <c r="D237" s="38">
        <v>24000</v>
      </c>
      <c r="E237" s="21">
        <v>0.1</v>
      </c>
      <c r="F237" s="51">
        <v>13400</v>
      </c>
      <c r="G237" s="38">
        <f t="shared" si="48"/>
        <v>1200</v>
      </c>
      <c r="H237" s="38">
        <f t="shared" si="46"/>
        <v>14600</v>
      </c>
      <c r="I237" s="38">
        <f t="shared" si="47"/>
        <v>9400</v>
      </c>
      <c r="J237" s="38"/>
    </row>
    <row r="238" spans="1:10" x14ac:dyDescent="0.25">
      <c r="A238" s="46">
        <v>44049</v>
      </c>
      <c r="B238" s="47">
        <v>1</v>
      </c>
      <c r="C238" s="47" t="s">
        <v>177</v>
      </c>
      <c r="D238" s="38">
        <v>6800</v>
      </c>
      <c r="E238" s="21">
        <v>0.1</v>
      </c>
      <c r="F238" s="51">
        <v>3683.333333333333</v>
      </c>
      <c r="G238" s="38">
        <f t="shared" si="48"/>
        <v>340</v>
      </c>
      <c r="H238" s="38">
        <f t="shared" si="46"/>
        <v>4023.333333333333</v>
      </c>
      <c r="I238" s="38">
        <f t="shared" si="47"/>
        <v>2776.666666666667</v>
      </c>
      <c r="J238" s="38"/>
    </row>
    <row r="239" spans="1:10" x14ac:dyDescent="0.25">
      <c r="A239" s="46">
        <v>44096</v>
      </c>
      <c r="B239" s="47">
        <v>3</v>
      </c>
      <c r="C239" s="47" t="s">
        <v>178</v>
      </c>
      <c r="D239" s="38">
        <v>16500</v>
      </c>
      <c r="E239" s="21">
        <v>0.1</v>
      </c>
      <c r="F239" s="51">
        <v>8662.5</v>
      </c>
      <c r="G239" s="38">
        <f t="shared" si="48"/>
        <v>825</v>
      </c>
      <c r="H239" s="38">
        <f t="shared" si="46"/>
        <v>9487.5</v>
      </c>
      <c r="I239" s="38">
        <f t="shared" si="47"/>
        <v>7012.5</v>
      </c>
      <c r="J239" s="38"/>
    </row>
    <row r="240" spans="1:10" x14ac:dyDescent="0.25">
      <c r="A240" s="46">
        <v>44138</v>
      </c>
      <c r="B240" s="47">
        <v>17</v>
      </c>
      <c r="C240" s="47" t="s">
        <v>179</v>
      </c>
      <c r="D240" s="38">
        <v>22400</v>
      </c>
      <c r="E240" s="21">
        <v>0.1</v>
      </c>
      <c r="F240" s="51">
        <v>11573.333333333334</v>
      </c>
      <c r="G240" s="38">
        <f t="shared" si="48"/>
        <v>1120</v>
      </c>
      <c r="H240" s="38">
        <f t="shared" si="46"/>
        <v>12693.333333333334</v>
      </c>
      <c r="I240" s="38">
        <f t="shared" si="47"/>
        <v>9706.6666666666661</v>
      </c>
      <c r="J240" s="38"/>
    </row>
    <row r="241" spans="1:10" x14ac:dyDescent="0.25">
      <c r="A241" s="46">
        <v>44160</v>
      </c>
      <c r="B241" s="47">
        <v>1</v>
      </c>
      <c r="C241" s="47" t="s">
        <v>170</v>
      </c>
      <c r="D241" s="38">
        <v>356700</v>
      </c>
      <c r="E241" s="21">
        <v>0.1</v>
      </c>
      <c r="F241" s="51">
        <v>181322.5</v>
      </c>
      <c r="G241" s="38">
        <f t="shared" si="48"/>
        <v>17835</v>
      </c>
      <c r="H241" s="38">
        <f t="shared" si="46"/>
        <v>199157.5</v>
      </c>
      <c r="I241" s="38">
        <f t="shared" si="47"/>
        <v>157542.5</v>
      </c>
      <c r="J241" s="38"/>
    </row>
    <row r="242" spans="1:10" x14ac:dyDescent="0.25">
      <c r="A242" s="46">
        <v>44166</v>
      </c>
      <c r="B242" s="47">
        <v>6</v>
      </c>
      <c r="C242" s="47" t="s">
        <v>180</v>
      </c>
      <c r="D242" s="38">
        <v>119500</v>
      </c>
      <c r="E242" s="21">
        <v>0.1</v>
      </c>
      <c r="F242" s="51">
        <v>60745.833333333336</v>
      </c>
      <c r="G242" s="38">
        <f t="shared" si="48"/>
        <v>5975</v>
      </c>
      <c r="H242" s="38">
        <f t="shared" si="46"/>
        <v>66720.833333333343</v>
      </c>
      <c r="I242" s="38">
        <f t="shared" si="47"/>
        <v>52779.166666666657</v>
      </c>
      <c r="J242" s="38"/>
    </row>
    <row r="243" spans="1:10" x14ac:dyDescent="0.25">
      <c r="A243" s="46">
        <v>44189</v>
      </c>
      <c r="B243" s="47"/>
      <c r="C243" s="47" t="s">
        <v>181</v>
      </c>
      <c r="D243" s="38">
        <v>17800</v>
      </c>
      <c r="E243" s="21">
        <v>0.1</v>
      </c>
      <c r="F243" s="51">
        <v>8900</v>
      </c>
      <c r="G243" s="38">
        <f t="shared" si="48"/>
        <v>890</v>
      </c>
      <c r="H243" s="38">
        <f t="shared" si="46"/>
        <v>9790</v>
      </c>
      <c r="I243" s="38">
        <f t="shared" si="47"/>
        <v>8010</v>
      </c>
      <c r="J243" s="38"/>
    </row>
    <row r="244" spans="1:10" x14ac:dyDescent="0.25">
      <c r="A244" s="46">
        <v>44194</v>
      </c>
      <c r="B244" s="47"/>
      <c r="C244" s="47" t="s">
        <v>182</v>
      </c>
      <c r="D244" s="38">
        <v>90000</v>
      </c>
      <c r="E244" s="21">
        <v>0.1</v>
      </c>
      <c r="F244" s="51">
        <v>45000</v>
      </c>
      <c r="G244" s="38">
        <f t="shared" si="48"/>
        <v>4500</v>
      </c>
      <c r="H244" s="38">
        <f t="shared" si="46"/>
        <v>49500</v>
      </c>
      <c r="I244" s="38">
        <f t="shared" si="47"/>
        <v>40500</v>
      </c>
      <c r="J244" s="38"/>
    </row>
    <row r="245" spans="1:10" ht="13" x14ac:dyDescent="0.3">
      <c r="A245" s="42">
        <v>44196</v>
      </c>
      <c r="B245" s="43"/>
      <c r="C245" s="43" t="s">
        <v>183</v>
      </c>
      <c r="D245" s="44">
        <f>SUM(D224:D244)</f>
        <v>26882434</v>
      </c>
      <c r="E245" s="59">
        <v>0.1</v>
      </c>
      <c r="F245" s="44">
        <f>SUM(F224:F244)</f>
        <v>23143324.666666668</v>
      </c>
      <c r="G245" s="44">
        <f t="shared" ref="G245:H245" si="49">SUM(G224:G244)</f>
        <v>613577.51666666672</v>
      </c>
      <c r="H245" s="44">
        <f t="shared" si="49"/>
        <v>23756902.183333334</v>
      </c>
      <c r="I245" s="44">
        <f>SUM(I224:I244)</f>
        <v>3125531.816666666</v>
      </c>
      <c r="J245" s="44"/>
    </row>
    <row r="246" spans="1:10" x14ac:dyDescent="0.25">
      <c r="D246" s="60"/>
      <c r="F246" s="60"/>
    </row>
    <row r="247" spans="1:10" x14ac:dyDescent="0.25">
      <c r="D247" s="49"/>
    </row>
    <row r="248" spans="1:10" x14ac:dyDescent="0.25">
      <c r="D248" s="49"/>
      <c r="F248" s="49"/>
    </row>
    <row r="249" spans="1:10" x14ac:dyDescent="0.25">
      <c r="D249" s="49"/>
      <c r="I249" s="61"/>
      <c r="J249" s="61"/>
    </row>
    <row r="250" spans="1:10" ht="13" x14ac:dyDescent="0.3">
      <c r="A250" s="42" t="s">
        <v>184</v>
      </c>
      <c r="B250" s="43"/>
      <c r="C250" s="43" t="s">
        <v>185</v>
      </c>
      <c r="D250" s="44">
        <f>+D245</f>
        <v>26882434</v>
      </c>
      <c r="E250" s="45">
        <v>0.1</v>
      </c>
      <c r="F250" s="44">
        <f>+F245</f>
        <v>23143324.666666668</v>
      </c>
      <c r="G250" s="44">
        <f t="shared" ref="G250:H250" si="50">+G245</f>
        <v>613577.51666666672</v>
      </c>
      <c r="H250" s="44">
        <f t="shared" si="50"/>
        <v>23756902.183333334</v>
      </c>
      <c r="I250" s="44">
        <f>+I245</f>
        <v>3125531.816666666</v>
      </c>
      <c r="J250" s="44"/>
    </row>
    <row r="251" spans="1:10" x14ac:dyDescent="0.25">
      <c r="A251" s="46">
        <v>44214</v>
      </c>
      <c r="B251" s="47">
        <v>1</v>
      </c>
      <c r="C251" s="47" t="s">
        <v>186</v>
      </c>
      <c r="D251" s="38">
        <v>5500</v>
      </c>
      <c r="E251" s="21">
        <v>0.1</v>
      </c>
      <c r="F251" s="38">
        <v>2750</v>
      </c>
      <c r="G251" s="38">
        <f>E251*D251*6/12</f>
        <v>275</v>
      </c>
      <c r="H251" s="38">
        <f t="shared" ref="H251:H273" si="51">G251+F251</f>
        <v>3025</v>
      </c>
      <c r="I251" s="38">
        <f t="shared" ref="I251:I272" si="52">D251-H251</f>
        <v>2475</v>
      </c>
      <c r="J251" s="38"/>
    </row>
    <row r="252" spans="1:10" x14ac:dyDescent="0.25">
      <c r="A252" s="46">
        <v>44214</v>
      </c>
      <c r="B252" s="47">
        <v>1</v>
      </c>
      <c r="C252" s="47" t="s">
        <v>187</v>
      </c>
      <c r="D252" s="38">
        <v>18700</v>
      </c>
      <c r="E252" s="21">
        <v>0.1</v>
      </c>
      <c r="F252" s="38">
        <v>9350</v>
      </c>
      <c r="G252" s="38">
        <f t="shared" ref="G252:G273" si="53">E252*D252*6/12</f>
        <v>935</v>
      </c>
      <c r="H252" s="38">
        <f t="shared" si="51"/>
        <v>10285</v>
      </c>
      <c r="I252" s="38">
        <f t="shared" si="52"/>
        <v>8415</v>
      </c>
      <c r="J252" s="38"/>
    </row>
    <row r="253" spans="1:10" x14ac:dyDescent="0.25">
      <c r="A253" s="46">
        <v>44292</v>
      </c>
      <c r="B253" s="47">
        <v>1</v>
      </c>
      <c r="C253" s="47" t="s">
        <v>188</v>
      </c>
      <c r="D253" s="38">
        <v>17800</v>
      </c>
      <c r="E253" s="21">
        <v>0.1</v>
      </c>
      <c r="F253" s="38">
        <v>8455</v>
      </c>
      <c r="G253" s="38">
        <f t="shared" si="53"/>
        <v>890</v>
      </c>
      <c r="H253" s="38">
        <f t="shared" si="51"/>
        <v>9345</v>
      </c>
      <c r="I253" s="38">
        <f t="shared" si="52"/>
        <v>8455</v>
      </c>
      <c r="J253" s="38"/>
    </row>
    <row r="254" spans="1:10" x14ac:dyDescent="0.25">
      <c r="A254" s="46">
        <v>44377</v>
      </c>
      <c r="B254" s="47">
        <v>2</v>
      </c>
      <c r="C254" s="47" t="s">
        <v>189</v>
      </c>
      <c r="D254" s="38">
        <v>495000</v>
      </c>
      <c r="E254" s="21">
        <v>0.1</v>
      </c>
      <c r="F254" s="38">
        <v>222750</v>
      </c>
      <c r="G254" s="38">
        <f t="shared" si="53"/>
        <v>24750</v>
      </c>
      <c r="H254" s="38">
        <f t="shared" si="51"/>
        <v>247500</v>
      </c>
      <c r="I254" s="38">
        <f t="shared" si="52"/>
        <v>247500</v>
      </c>
      <c r="J254" s="38"/>
    </row>
    <row r="255" spans="1:10" x14ac:dyDescent="0.25">
      <c r="A255" s="46">
        <v>44390</v>
      </c>
      <c r="B255" s="47">
        <v>1</v>
      </c>
      <c r="C255" s="47" t="s">
        <v>186</v>
      </c>
      <c r="D255" s="38">
        <v>16000</v>
      </c>
      <c r="E255" s="21">
        <v>0.1</v>
      </c>
      <c r="F255" s="38">
        <v>7133.3333333333339</v>
      </c>
      <c r="G255" s="38">
        <f t="shared" si="53"/>
        <v>800</v>
      </c>
      <c r="H255" s="38">
        <f t="shared" si="51"/>
        <v>7933.3333333333339</v>
      </c>
      <c r="I255" s="38">
        <f t="shared" si="52"/>
        <v>8066.6666666666661</v>
      </c>
      <c r="J255" s="38"/>
    </row>
    <row r="256" spans="1:10" x14ac:dyDescent="0.25">
      <c r="A256" s="46">
        <v>44391</v>
      </c>
      <c r="B256" s="47">
        <v>1</v>
      </c>
      <c r="C256" s="47" t="s">
        <v>190</v>
      </c>
      <c r="D256" s="38">
        <v>250000</v>
      </c>
      <c r="E256" s="21">
        <v>0.1</v>
      </c>
      <c r="F256" s="38">
        <v>111458.33333333334</v>
      </c>
      <c r="G256" s="38">
        <f t="shared" si="53"/>
        <v>12500</v>
      </c>
      <c r="H256" s="38">
        <f t="shared" si="51"/>
        <v>123958.33333333334</v>
      </c>
      <c r="I256" s="38">
        <f t="shared" si="52"/>
        <v>126041.66666666666</v>
      </c>
      <c r="J256" s="38"/>
    </row>
    <row r="257" spans="1:10" x14ac:dyDescent="0.25">
      <c r="A257" s="46">
        <v>44405</v>
      </c>
      <c r="B257" s="47"/>
      <c r="C257" s="47" t="s">
        <v>186</v>
      </c>
      <c r="D257" s="38">
        <v>8500</v>
      </c>
      <c r="E257" s="21">
        <v>0.1</v>
      </c>
      <c r="F257" s="38">
        <v>3754.166666666667</v>
      </c>
      <c r="G257" s="38">
        <f t="shared" si="53"/>
        <v>425</v>
      </c>
      <c r="H257" s="38">
        <f t="shared" si="51"/>
        <v>4179.166666666667</v>
      </c>
      <c r="I257" s="38">
        <f t="shared" si="52"/>
        <v>4320.833333333333</v>
      </c>
      <c r="J257" s="38"/>
    </row>
    <row r="258" spans="1:10" x14ac:dyDescent="0.25">
      <c r="A258" s="46">
        <v>44406</v>
      </c>
      <c r="B258" s="47"/>
      <c r="C258" s="47" t="s">
        <v>191</v>
      </c>
      <c r="D258" s="38">
        <v>18000</v>
      </c>
      <c r="E258" s="21">
        <v>0.1</v>
      </c>
      <c r="F258" s="38">
        <v>7950</v>
      </c>
      <c r="G258" s="38">
        <f t="shared" si="53"/>
        <v>900</v>
      </c>
      <c r="H258" s="38">
        <f t="shared" si="51"/>
        <v>8850</v>
      </c>
      <c r="I258" s="38">
        <f t="shared" si="52"/>
        <v>9150</v>
      </c>
      <c r="J258" s="38"/>
    </row>
    <row r="259" spans="1:10" x14ac:dyDescent="0.25">
      <c r="A259" s="46">
        <v>44407</v>
      </c>
      <c r="B259" s="47"/>
      <c r="C259" s="47" t="s">
        <v>192</v>
      </c>
      <c r="D259" s="38">
        <v>70150</v>
      </c>
      <c r="E259" s="21">
        <v>0.1</v>
      </c>
      <c r="F259" s="38">
        <v>30982.916666666664</v>
      </c>
      <c r="G259" s="38">
        <f t="shared" si="53"/>
        <v>3507.5</v>
      </c>
      <c r="H259" s="38">
        <f t="shared" si="51"/>
        <v>34490.416666666664</v>
      </c>
      <c r="I259" s="38">
        <f t="shared" si="52"/>
        <v>35659.583333333336</v>
      </c>
      <c r="J259" s="38"/>
    </row>
    <row r="260" spans="1:10" x14ac:dyDescent="0.25">
      <c r="A260" s="46">
        <v>44407</v>
      </c>
      <c r="B260" s="47"/>
      <c r="C260" s="47" t="s">
        <v>193</v>
      </c>
      <c r="D260" s="38">
        <v>9400</v>
      </c>
      <c r="E260" s="21">
        <v>0.1</v>
      </c>
      <c r="F260" s="38">
        <v>4151.666666666667</v>
      </c>
      <c r="G260" s="38">
        <f t="shared" si="53"/>
        <v>470</v>
      </c>
      <c r="H260" s="38">
        <f t="shared" si="51"/>
        <v>4621.666666666667</v>
      </c>
      <c r="I260" s="38">
        <f t="shared" si="52"/>
        <v>4778.333333333333</v>
      </c>
      <c r="J260" s="38"/>
    </row>
    <row r="261" spans="1:10" x14ac:dyDescent="0.25">
      <c r="A261" s="46">
        <v>44412</v>
      </c>
      <c r="B261" s="47">
        <v>2</v>
      </c>
      <c r="C261" s="47" t="s">
        <v>191</v>
      </c>
      <c r="D261" s="38">
        <v>12500</v>
      </c>
      <c r="E261" s="21">
        <v>0.1</v>
      </c>
      <c r="F261" s="38">
        <v>5520.8333333333339</v>
      </c>
      <c r="G261" s="38">
        <f t="shared" si="53"/>
        <v>625</v>
      </c>
      <c r="H261" s="38">
        <f t="shared" si="51"/>
        <v>6145.8333333333339</v>
      </c>
      <c r="I261" s="38">
        <f t="shared" si="52"/>
        <v>6354.1666666666661</v>
      </c>
      <c r="J261" s="38"/>
    </row>
    <row r="262" spans="1:10" x14ac:dyDescent="0.25">
      <c r="A262" s="46">
        <v>44412</v>
      </c>
      <c r="B262" s="47">
        <v>1</v>
      </c>
      <c r="C262" s="47" t="s">
        <v>194</v>
      </c>
      <c r="D262" s="38">
        <v>4500</v>
      </c>
      <c r="E262" s="21">
        <v>0.1</v>
      </c>
      <c r="F262" s="38">
        <v>1987.5</v>
      </c>
      <c r="G262" s="38">
        <f t="shared" si="53"/>
        <v>225</v>
      </c>
      <c r="H262" s="38">
        <f t="shared" si="51"/>
        <v>2212.5</v>
      </c>
      <c r="I262" s="38">
        <f t="shared" si="52"/>
        <v>2287.5</v>
      </c>
      <c r="J262" s="38"/>
    </row>
    <row r="263" spans="1:10" x14ac:dyDescent="0.25">
      <c r="A263" s="46">
        <v>44420</v>
      </c>
      <c r="B263" s="47"/>
      <c r="C263" s="47" t="s">
        <v>192</v>
      </c>
      <c r="D263" s="38">
        <v>70150</v>
      </c>
      <c r="E263" s="21">
        <v>0.1</v>
      </c>
      <c r="F263" s="38">
        <v>30690.625</v>
      </c>
      <c r="G263" s="38">
        <f t="shared" si="53"/>
        <v>3507.5</v>
      </c>
      <c r="H263" s="38">
        <f t="shared" si="51"/>
        <v>34198.125</v>
      </c>
      <c r="I263" s="38">
        <f t="shared" si="52"/>
        <v>35951.875</v>
      </c>
      <c r="J263" s="38"/>
    </row>
    <row r="264" spans="1:10" x14ac:dyDescent="0.25">
      <c r="A264" s="46">
        <v>44420</v>
      </c>
      <c r="B264" s="47">
        <v>2</v>
      </c>
      <c r="C264" s="47" t="s">
        <v>189</v>
      </c>
      <c r="D264" s="38">
        <v>495000</v>
      </c>
      <c r="E264" s="21">
        <v>0.1</v>
      </c>
      <c r="F264" s="38">
        <v>216562.5</v>
      </c>
      <c r="G264" s="38">
        <f t="shared" si="53"/>
        <v>24750</v>
      </c>
      <c r="H264" s="38">
        <f t="shared" si="51"/>
        <v>241312.5</v>
      </c>
      <c r="I264" s="38">
        <f t="shared" si="52"/>
        <v>253687.5</v>
      </c>
      <c r="J264" s="38"/>
    </row>
    <row r="265" spans="1:10" x14ac:dyDescent="0.25">
      <c r="A265" s="46">
        <v>44446</v>
      </c>
      <c r="B265" s="47">
        <v>1</v>
      </c>
      <c r="C265" s="47" t="s">
        <v>191</v>
      </c>
      <c r="D265" s="38">
        <v>36960</v>
      </c>
      <c r="E265" s="21">
        <v>0.1</v>
      </c>
      <c r="F265" s="38">
        <v>16016</v>
      </c>
      <c r="G265" s="38">
        <f t="shared" si="53"/>
        <v>1848</v>
      </c>
      <c r="H265" s="38">
        <f t="shared" si="51"/>
        <v>17864</v>
      </c>
      <c r="I265" s="38">
        <f t="shared" si="52"/>
        <v>19096</v>
      </c>
      <c r="J265" s="38"/>
    </row>
    <row r="266" spans="1:10" x14ac:dyDescent="0.25">
      <c r="A266" s="46">
        <v>44446</v>
      </c>
      <c r="B266" s="47">
        <v>1</v>
      </c>
      <c r="C266" s="47" t="s">
        <v>191</v>
      </c>
      <c r="D266" s="38">
        <v>48320</v>
      </c>
      <c r="E266" s="21">
        <v>0.1</v>
      </c>
      <c r="F266" s="38">
        <v>20938.666666666668</v>
      </c>
      <c r="G266" s="38">
        <f t="shared" si="53"/>
        <v>2416</v>
      </c>
      <c r="H266" s="38">
        <f t="shared" si="51"/>
        <v>23354.666666666668</v>
      </c>
      <c r="I266" s="38">
        <f t="shared" si="52"/>
        <v>24965.333333333332</v>
      </c>
      <c r="J266" s="38"/>
    </row>
    <row r="267" spans="1:10" x14ac:dyDescent="0.25">
      <c r="A267" s="46">
        <v>44446</v>
      </c>
      <c r="B267" s="47">
        <v>1</v>
      </c>
      <c r="C267" s="47" t="s">
        <v>191</v>
      </c>
      <c r="D267" s="38">
        <v>36960</v>
      </c>
      <c r="E267" s="21">
        <v>0.1</v>
      </c>
      <c r="F267" s="38">
        <v>16016</v>
      </c>
      <c r="G267" s="38">
        <f t="shared" si="53"/>
        <v>1848</v>
      </c>
      <c r="H267" s="38">
        <f t="shared" si="51"/>
        <v>17864</v>
      </c>
      <c r="I267" s="38">
        <f t="shared" si="52"/>
        <v>19096</v>
      </c>
      <c r="J267" s="38"/>
    </row>
    <row r="268" spans="1:10" x14ac:dyDescent="0.25">
      <c r="A268" s="46">
        <v>44454</v>
      </c>
      <c r="B268" s="47"/>
      <c r="C268" s="47" t="s">
        <v>193</v>
      </c>
      <c r="D268" s="38">
        <v>12080</v>
      </c>
      <c r="E268" s="21">
        <v>0.1</v>
      </c>
      <c r="F268" s="38">
        <v>5184.333333333333</v>
      </c>
      <c r="G268" s="38">
        <f t="shared" si="53"/>
        <v>604</v>
      </c>
      <c r="H268" s="38">
        <f t="shared" si="51"/>
        <v>5788.333333333333</v>
      </c>
      <c r="I268" s="38">
        <f t="shared" si="52"/>
        <v>6291.666666666667</v>
      </c>
      <c r="J268" s="38"/>
    </row>
    <row r="269" spans="1:10" x14ac:dyDescent="0.25">
      <c r="A269" s="46">
        <v>44454</v>
      </c>
      <c r="B269" s="47"/>
      <c r="C269" s="47" t="s">
        <v>193</v>
      </c>
      <c r="D269" s="38">
        <v>9240</v>
      </c>
      <c r="E269" s="21">
        <v>0.1</v>
      </c>
      <c r="F269" s="38">
        <v>3965.5</v>
      </c>
      <c r="G269" s="38">
        <f t="shared" si="53"/>
        <v>462</v>
      </c>
      <c r="H269" s="38">
        <f t="shared" si="51"/>
        <v>4427.5</v>
      </c>
      <c r="I269" s="38">
        <f t="shared" si="52"/>
        <v>4812.5</v>
      </c>
      <c r="J269" s="38"/>
    </row>
    <row r="270" spans="1:10" x14ac:dyDescent="0.25">
      <c r="A270" s="46">
        <v>44454</v>
      </c>
      <c r="B270" s="47"/>
      <c r="C270" s="47" t="s">
        <v>193</v>
      </c>
      <c r="D270" s="38">
        <v>9240</v>
      </c>
      <c r="E270" s="21">
        <v>0.1</v>
      </c>
      <c r="F270" s="38">
        <v>3965.5</v>
      </c>
      <c r="G270" s="38">
        <f t="shared" si="53"/>
        <v>462</v>
      </c>
      <c r="H270" s="38">
        <f t="shared" si="51"/>
        <v>4427.5</v>
      </c>
      <c r="I270" s="38">
        <f t="shared" si="52"/>
        <v>4812.5</v>
      </c>
      <c r="J270" s="38"/>
    </row>
    <row r="271" spans="1:10" x14ac:dyDescent="0.25">
      <c r="A271" s="46">
        <v>44454</v>
      </c>
      <c r="B271" s="47">
        <v>17</v>
      </c>
      <c r="C271" s="47" t="s">
        <v>195</v>
      </c>
      <c r="D271" s="38">
        <v>25500</v>
      </c>
      <c r="E271" s="21">
        <v>0.1</v>
      </c>
      <c r="F271" s="38">
        <v>10943.75</v>
      </c>
      <c r="G271" s="38">
        <f t="shared" si="53"/>
        <v>1275</v>
      </c>
      <c r="H271" s="38">
        <f t="shared" si="51"/>
        <v>12218.75</v>
      </c>
      <c r="I271" s="38">
        <f t="shared" si="52"/>
        <v>13281.25</v>
      </c>
      <c r="J271" s="38"/>
    </row>
    <row r="272" spans="1:10" x14ac:dyDescent="0.25">
      <c r="A272" s="46">
        <v>44469</v>
      </c>
      <c r="B272" s="47">
        <v>4</v>
      </c>
      <c r="C272" s="47" t="s">
        <v>196</v>
      </c>
      <c r="D272" s="38">
        <v>123500</v>
      </c>
      <c r="E272" s="21">
        <v>0.1</v>
      </c>
      <c r="F272" s="38">
        <v>52487.5</v>
      </c>
      <c r="G272" s="38">
        <f t="shared" si="53"/>
        <v>6175</v>
      </c>
      <c r="H272" s="38">
        <f t="shared" si="51"/>
        <v>58662.5</v>
      </c>
      <c r="I272" s="38">
        <f t="shared" si="52"/>
        <v>64837.5</v>
      </c>
      <c r="J272" s="38"/>
    </row>
    <row r="273" spans="1:12" x14ac:dyDescent="0.25">
      <c r="A273" s="46">
        <v>44491</v>
      </c>
      <c r="B273" s="47">
        <v>8</v>
      </c>
      <c r="C273" s="47" t="s">
        <v>191</v>
      </c>
      <c r="D273" s="38">
        <v>44000</v>
      </c>
      <c r="E273" s="21">
        <v>0.1</v>
      </c>
      <c r="F273" s="38">
        <v>18333.333333333332</v>
      </c>
      <c r="G273" s="38">
        <f t="shared" si="53"/>
        <v>2200</v>
      </c>
      <c r="H273" s="38">
        <f t="shared" si="51"/>
        <v>20533.333333333332</v>
      </c>
      <c r="I273" s="38">
        <f>D273-H273</f>
        <v>23466.666666666668</v>
      </c>
      <c r="J273" s="38"/>
    </row>
    <row r="274" spans="1:12" ht="13" x14ac:dyDescent="0.3">
      <c r="A274" s="42">
        <v>44561</v>
      </c>
      <c r="B274" s="43"/>
      <c r="C274" s="43" t="s">
        <v>197</v>
      </c>
      <c r="D274" s="44">
        <f>SUM(D250:D273)</f>
        <v>28719434</v>
      </c>
      <c r="E274" s="45">
        <v>0.1</v>
      </c>
      <c r="F274" s="44">
        <f>SUM(F250:F273)</f>
        <v>23954672.125</v>
      </c>
      <c r="G274" s="44">
        <f t="shared" ref="G274:H274" si="54">SUM(G250:G273)</f>
        <v>705427.51666666672</v>
      </c>
      <c r="H274" s="44">
        <f t="shared" si="54"/>
        <v>24660099.641666666</v>
      </c>
      <c r="I274" s="44">
        <f>SUM(I250:I273)</f>
        <v>4059334.3583333325</v>
      </c>
      <c r="J274" s="44"/>
    </row>
    <row r="275" spans="1:12" x14ac:dyDescent="0.25">
      <c r="D275" s="60"/>
      <c r="F275" s="60"/>
      <c r="I275" s="49"/>
      <c r="J275" s="49"/>
    </row>
    <row r="276" spans="1:12" x14ac:dyDescent="0.25">
      <c r="D276" s="60"/>
      <c r="F276" s="60"/>
      <c r="I276" s="49"/>
      <c r="J276" s="49"/>
    </row>
    <row r="277" spans="1:12" ht="13" x14ac:dyDescent="0.3">
      <c r="A277" s="62">
        <v>44562</v>
      </c>
      <c r="B277" s="43"/>
      <c r="C277" s="43" t="s">
        <v>198</v>
      </c>
      <c r="D277" s="44">
        <f>+D274</f>
        <v>28719434</v>
      </c>
      <c r="E277" s="45"/>
      <c r="F277" s="44">
        <f>+F274</f>
        <v>23954672.125</v>
      </c>
      <c r="G277" s="44">
        <f t="shared" ref="G277:H277" si="55">+G274</f>
        <v>705427.51666666672</v>
      </c>
      <c r="H277" s="44">
        <f t="shared" si="55"/>
        <v>24660099.641666666</v>
      </c>
      <c r="I277" s="44">
        <f>+I274</f>
        <v>4059334.3583333325</v>
      </c>
      <c r="J277" s="44"/>
    </row>
    <row r="278" spans="1:12" x14ac:dyDescent="0.25">
      <c r="A278" s="46">
        <v>44567</v>
      </c>
      <c r="B278" s="47">
        <v>2</v>
      </c>
      <c r="C278" s="47" t="s">
        <v>199</v>
      </c>
      <c r="D278" s="38">
        <v>52000</v>
      </c>
      <c r="E278" s="21">
        <v>0.1</v>
      </c>
      <c r="F278" s="38">
        <v>20800</v>
      </c>
      <c r="G278" s="38">
        <f>E278*D278*6/12</f>
        <v>2600</v>
      </c>
      <c r="H278" s="38">
        <f t="shared" ref="H278:H288" si="56">G278+F278</f>
        <v>23400</v>
      </c>
      <c r="I278" s="38">
        <f t="shared" ref="I278:I288" si="57">D278-H278</f>
        <v>28600</v>
      </c>
      <c r="J278" s="38"/>
    </row>
    <row r="279" spans="1:12" x14ac:dyDescent="0.25">
      <c r="A279" s="46">
        <v>44572</v>
      </c>
      <c r="B279" s="47"/>
      <c r="C279" s="47" t="s">
        <v>200</v>
      </c>
      <c r="D279" s="38">
        <v>46550</v>
      </c>
      <c r="E279" s="21">
        <v>0.1</v>
      </c>
      <c r="F279" s="38">
        <v>18620</v>
      </c>
      <c r="G279" s="38">
        <f t="shared" ref="G279:G288" si="58">E279*D279*6/12</f>
        <v>2327.5</v>
      </c>
      <c r="H279" s="38">
        <f t="shared" si="56"/>
        <v>20947.5</v>
      </c>
      <c r="I279" s="38">
        <f t="shared" si="57"/>
        <v>25602.5</v>
      </c>
      <c r="J279" s="38"/>
    </row>
    <row r="280" spans="1:12" x14ac:dyDescent="0.25">
      <c r="A280" s="46">
        <v>44613</v>
      </c>
      <c r="B280" s="47">
        <v>2</v>
      </c>
      <c r="C280" s="47" t="s">
        <v>201</v>
      </c>
      <c r="D280" s="38">
        <v>1129260</v>
      </c>
      <c r="E280" s="21">
        <v>0.1</v>
      </c>
      <c r="F280" s="38">
        <v>432883</v>
      </c>
      <c r="G280" s="38">
        <f t="shared" si="58"/>
        <v>56463</v>
      </c>
      <c r="H280" s="38">
        <f t="shared" si="56"/>
        <v>489346</v>
      </c>
      <c r="I280" s="38">
        <f t="shared" si="57"/>
        <v>639914</v>
      </c>
      <c r="J280" s="38"/>
    </row>
    <row r="281" spans="1:12" x14ac:dyDescent="0.25">
      <c r="A281" s="46">
        <v>44651</v>
      </c>
      <c r="B281" s="47"/>
      <c r="C281" s="47" t="s">
        <v>202</v>
      </c>
      <c r="D281" s="38">
        <v>87204256.379999995</v>
      </c>
      <c r="E281" s="21">
        <v>0.1</v>
      </c>
      <c r="F281" s="38">
        <v>32701596.142500002</v>
      </c>
      <c r="G281" s="38">
        <f t="shared" si="58"/>
        <v>4360212.8190000001</v>
      </c>
      <c r="H281" s="38">
        <f t="shared" si="56"/>
        <v>37061808.961500004</v>
      </c>
      <c r="I281" s="38">
        <f t="shared" si="57"/>
        <v>50142447.418499991</v>
      </c>
      <c r="J281" s="38"/>
      <c r="K281" s="60"/>
      <c r="L281" s="60"/>
    </row>
    <row r="282" spans="1:12" x14ac:dyDescent="0.25">
      <c r="A282" s="46">
        <v>44784</v>
      </c>
      <c r="B282" s="47"/>
      <c r="C282" s="47" t="s">
        <v>203</v>
      </c>
      <c r="D282" s="38">
        <v>12412</v>
      </c>
      <c r="E282" s="21">
        <v>0.1</v>
      </c>
      <c r="F282" s="38">
        <v>4137.333333333333</v>
      </c>
      <c r="G282" s="38">
        <f t="shared" si="58"/>
        <v>620.6</v>
      </c>
      <c r="H282" s="38">
        <f t="shared" si="56"/>
        <v>4757.9333333333334</v>
      </c>
      <c r="I282" s="38">
        <f t="shared" si="57"/>
        <v>7654.0666666666666</v>
      </c>
      <c r="J282" s="38"/>
      <c r="K282" s="60"/>
      <c r="L282" s="60"/>
    </row>
    <row r="283" spans="1:12" x14ac:dyDescent="0.25">
      <c r="A283" s="46">
        <v>44790</v>
      </c>
      <c r="B283" s="47"/>
      <c r="C283" s="47" t="s">
        <v>204</v>
      </c>
      <c r="D283" s="38">
        <v>37200</v>
      </c>
      <c r="E283" s="21">
        <v>0.1</v>
      </c>
      <c r="F283" s="38">
        <v>12400</v>
      </c>
      <c r="G283" s="38">
        <f t="shared" si="58"/>
        <v>1860</v>
      </c>
      <c r="H283" s="38">
        <f t="shared" si="56"/>
        <v>14260</v>
      </c>
      <c r="I283" s="38">
        <f t="shared" si="57"/>
        <v>22940</v>
      </c>
      <c r="J283" s="38"/>
      <c r="K283" s="60"/>
      <c r="L283" s="60"/>
    </row>
    <row r="284" spans="1:12" x14ac:dyDescent="0.25">
      <c r="A284" s="46">
        <v>44858</v>
      </c>
      <c r="B284" s="47"/>
      <c r="C284" s="47" t="s">
        <v>205</v>
      </c>
      <c r="D284" s="38">
        <v>140000</v>
      </c>
      <c r="E284" s="21">
        <v>0.1</v>
      </c>
      <c r="F284" s="38">
        <v>44333.333333333336</v>
      </c>
      <c r="G284" s="38">
        <f t="shared" si="58"/>
        <v>7000</v>
      </c>
      <c r="H284" s="38">
        <f t="shared" si="56"/>
        <v>51333.333333333336</v>
      </c>
      <c r="I284" s="38">
        <f t="shared" si="57"/>
        <v>88666.666666666657</v>
      </c>
      <c r="J284" s="38"/>
      <c r="K284" s="60"/>
      <c r="L284" s="60"/>
    </row>
    <row r="285" spans="1:12" x14ac:dyDescent="0.25">
      <c r="A285" s="46">
        <v>44904</v>
      </c>
      <c r="B285" s="47"/>
      <c r="C285" s="47" t="s">
        <v>206</v>
      </c>
      <c r="D285" s="38">
        <v>268725</v>
      </c>
      <c r="E285" s="21">
        <v>0.1</v>
      </c>
      <c r="F285" s="38">
        <v>81737.1875</v>
      </c>
      <c r="G285" s="38">
        <f t="shared" si="58"/>
        <v>13436.25</v>
      </c>
      <c r="H285" s="38">
        <f t="shared" si="56"/>
        <v>95173.4375</v>
      </c>
      <c r="I285" s="38">
        <f t="shared" si="57"/>
        <v>173551.5625</v>
      </c>
      <c r="J285" s="38"/>
      <c r="K285" s="60"/>
    </row>
    <row r="286" spans="1:12" x14ac:dyDescent="0.25">
      <c r="A286" s="46">
        <v>44908</v>
      </c>
      <c r="B286" s="47"/>
      <c r="C286" s="47" t="s">
        <v>207</v>
      </c>
      <c r="D286" s="38">
        <v>78000</v>
      </c>
      <c r="E286" s="21">
        <v>0.1</v>
      </c>
      <c r="F286" s="38">
        <v>23725</v>
      </c>
      <c r="G286" s="38">
        <f t="shared" si="58"/>
        <v>3900</v>
      </c>
      <c r="H286" s="38">
        <f t="shared" si="56"/>
        <v>27625</v>
      </c>
      <c r="I286" s="38">
        <f t="shared" si="57"/>
        <v>50375</v>
      </c>
      <c r="J286" s="38"/>
      <c r="K286" s="60"/>
    </row>
    <row r="287" spans="1:12" x14ac:dyDescent="0.25">
      <c r="A287" s="46">
        <v>44911</v>
      </c>
      <c r="B287" s="47"/>
      <c r="C287" s="47" t="s">
        <v>207</v>
      </c>
      <c r="D287" s="38">
        <v>16000</v>
      </c>
      <c r="E287" s="21">
        <v>0.1</v>
      </c>
      <c r="F287" s="38">
        <v>4866.666666666667</v>
      </c>
      <c r="G287" s="38">
        <f t="shared" si="58"/>
        <v>800</v>
      </c>
      <c r="H287" s="38">
        <f t="shared" si="56"/>
        <v>5666.666666666667</v>
      </c>
      <c r="I287" s="38">
        <f t="shared" si="57"/>
        <v>10333.333333333332</v>
      </c>
      <c r="J287" s="38"/>
      <c r="K287" s="60"/>
    </row>
    <row r="288" spans="1:12" x14ac:dyDescent="0.25">
      <c r="A288" s="46">
        <v>44915</v>
      </c>
      <c r="B288" s="47"/>
      <c r="C288" s="47" t="s">
        <v>208</v>
      </c>
      <c r="D288" s="38">
        <v>226788.66</v>
      </c>
      <c r="E288" s="21">
        <v>0.1</v>
      </c>
      <c r="F288" s="38">
        <v>68036.597999999998</v>
      </c>
      <c r="G288" s="38">
        <f t="shared" si="58"/>
        <v>11339.432999999999</v>
      </c>
      <c r="H288" s="38">
        <f t="shared" si="56"/>
        <v>79376.031000000003</v>
      </c>
      <c r="I288" s="38">
        <f t="shared" si="57"/>
        <v>147412.62900000002</v>
      </c>
      <c r="J288" s="38"/>
    </row>
    <row r="289" spans="1:12" ht="13" x14ac:dyDescent="0.3">
      <c r="A289" s="42">
        <v>44926</v>
      </c>
      <c r="B289" s="43"/>
      <c r="C289" s="43" t="s">
        <v>209</v>
      </c>
      <c r="D289" s="44">
        <f>SUM(D277:D288)</f>
        <v>117930626.03999999</v>
      </c>
      <c r="E289" s="44"/>
      <c r="F289" s="44">
        <f>SUM(F277:F288)</f>
        <v>57367807.386333331</v>
      </c>
      <c r="G289" s="44">
        <f t="shared" ref="G289:H289" si="59">SUM(G277:G288)</f>
        <v>5165987.1186666666</v>
      </c>
      <c r="H289" s="44">
        <f t="shared" si="59"/>
        <v>62533794.505000003</v>
      </c>
      <c r="I289" s="44">
        <f>SUM(I277:I288)</f>
        <v>55396831.534999996</v>
      </c>
      <c r="J289" s="44"/>
    </row>
    <row r="290" spans="1:12" x14ac:dyDescent="0.25">
      <c r="D290" s="49"/>
      <c r="E290" s="49"/>
      <c r="F290" s="49"/>
      <c r="I290" s="49"/>
      <c r="J290" s="49"/>
    </row>
    <row r="291" spans="1:12" x14ac:dyDescent="0.25">
      <c r="D291" s="49"/>
      <c r="E291" s="49"/>
      <c r="F291" s="49"/>
      <c r="I291" s="49"/>
      <c r="J291" s="49"/>
    </row>
    <row r="292" spans="1:12" ht="13" x14ac:dyDescent="0.3">
      <c r="A292" s="62">
        <v>44927</v>
      </c>
      <c r="B292" s="43"/>
      <c r="C292" s="43" t="s">
        <v>210</v>
      </c>
      <c r="D292" s="44">
        <f>+D289</f>
        <v>117930626.03999999</v>
      </c>
      <c r="E292" s="45"/>
      <c r="F292" s="44">
        <f>+F289</f>
        <v>57367807.386333331</v>
      </c>
      <c r="G292" s="44">
        <f t="shared" ref="G292:H292" si="60">+G289</f>
        <v>5165987.1186666666</v>
      </c>
      <c r="H292" s="44">
        <f t="shared" si="60"/>
        <v>62533794.505000003</v>
      </c>
      <c r="I292" s="44">
        <f>+I289</f>
        <v>55396831.534999996</v>
      </c>
      <c r="J292" s="44"/>
      <c r="L292" s="60"/>
    </row>
    <row r="293" spans="1:12" x14ac:dyDescent="0.25">
      <c r="A293" s="46" t="s">
        <v>211</v>
      </c>
      <c r="B293" s="63"/>
      <c r="C293" s="47" t="s">
        <v>212</v>
      </c>
      <c r="D293" s="38">
        <v>699114.9</v>
      </c>
      <c r="E293" s="21">
        <v>0.1</v>
      </c>
      <c r="F293" s="38">
        <v>208957.67566666665</v>
      </c>
      <c r="G293" s="38">
        <f>E293*D293*6/12</f>
        <v>34955.745000000003</v>
      </c>
      <c r="H293" s="38">
        <f t="shared" ref="H293:H366" si="61">G293+F293</f>
        <v>243913.42066666664</v>
      </c>
      <c r="I293" s="38">
        <f t="shared" ref="I293:I366" si="62">D293-H293</f>
        <v>455201.47933333338</v>
      </c>
      <c r="J293" s="38"/>
      <c r="K293" s="64"/>
      <c r="L293" s="64"/>
    </row>
    <row r="294" spans="1:12" x14ac:dyDescent="0.25">
      <c r="A294" s="46" t="s">
        <v>213</v>
      </c>
      <c r="B294" s="63"/>
      <c r="C294" s="47" t="s">
        <v>214</v>
      </c>
      <c r="D294" s="38">
        <v>13900</v>
      </c>
      <c r="E294" s="21">
        <v>0.1</v>
      </c>
      <c r="F294" s="38">
        <v>4119.8055555555557</v>
      </c>
      <c r="G294" s="38">
        <f t="shared" ref="G294:G357" si="63">E294*D294*6/12</f>
        <v>695</v>
      </c>
      <c r="H294" s="38">
        <f t="shared" si="61"/>
        <v>4814.8055555555557</v>
      </c>
      <c r="I294" s="38">
        <f t="shared" si="62"/>
        <v>9085.1944444444453</v>
      </c>
      <c r="J294" s="38"/>
      <c r="K294" s="65"/>
    </row>
    <row r="295" spans="1:12" x14ac:dyDescent="0.25">
      <c r="A295" s="46" t="s">
        <v>213</v>
      </c>
      <c r="B295" s="63"/>
      <c r="C295" s="47" t="s">
        <v>215</v>
      </c>
      <c r="D295" s="38">
        <v>26000</v>
      </c>
      <c r="E295" s="21">
        <v>0.1</v>
      </c>
      <c r="F295" s="38">
        <v>7706.1111111111113</v>
      </c>
      <c r="G295" s="38">
        <f t="shared" si="63"/>
        <v>1300</v>
      </c>
      <c r="H295" s="38">
        <f t="shared" si="61"/>
        <v>9006.1111111111113</v>
      </c>
      <c r="I295" s="38">
        <f t="shared" si="62"/>
        <v>16993.888888888891</v>
      </c>
      <c r="J295" s="38"/>
    </row>
    <row r="296" spans="1:12" x14ac:dyDescent="0.25">
      <c r="A296" s="46" t="s">
        <v>216</v>
      </c>
      <c r="B296" s="63"/>
      <c r="C296" s="47" t="s">
        <v>217</v>
      </c>
      <c r="D296" s="38">
        <v>76600</v>
      </c>
      <c r="E296" s="21">
        <v>0.1</v>
      </c>
      <c r="F296" s="38">
        <v>21916.111111111109</v>
      </c>
      <c r="G296" s="38">
        <f t="shared" si="63"/>
        <v>3830</v>
      </c>
      <c r="H296" s="38">
        <f t="shared" si="61"/>
        <v>25746.111111111109</v>
      </c>
      <c r="I296" s="38">
        <f t="shared" si="62"/>
        <v>50853.888888888891</v>
      </c>
      <c r="J296" s="38"/>
    </row>
    <row r="297" spans="1:12" x14ac:dyDescent="0.25">
      <c r="A297" s="46" t="s">
        <v>218</v>
      </c>
      <c r="B297" s="63"/>
      <c r="C297" s="47" t="s">
        <v>219</v>
      </c>
      <c r="D297" s="38">
        <v>96924</v>
      </c>
      <c r="E297" s="21">
        <v>0.1</v>
      </c>
      <c r="F297" s="38">
        <v>27542.57</v>
      </c>
      <c r="G297" s="38">
        <f t="shared" si="63"/>
        <v>4846.2</v>
      </c>
      <c r="H297" s="38">
        <f t="shared" si="61"/>
        <v>32388.77</v>
      </c>
      <c r="I297" s="38">
        <f t="shared" si="62"/>
        <v>64535.229999999996</v>
      </c>
      <c r="J297" s="38"/>
    </row>
    <row r="298" spans="1:12" x14ac:dyDescent="0.25">
      <c r="A298" s="46" t="s">
        <v>220</v>
      </c>
      <c r="B298" s="63"/>
      <c r="C298" s="47" t="s">
        <v>221</v>
      </c>
      <c r="D298" s="38">
        <v>63200</v>
      </c>
      <c r="E298" s="21">
        <v>0.1</v>
      </c>
      <c r="F298" s="38">
        <v>16870.888888888891</v>
      </c>
      <c r="G298" s="38">
        <f t="shared" si="63"/>
        <v>3160</v>
      </c>
      <c r="H298" s="38">
        <f t="shared" si="61"/>
        <v>20030.888888888891</v>
      </c>
      <c r="I298" s="38">
        <f t="shared" si="62"/>
        <v>43169.111111111109</v>
      </c>
      <c r="J298" s="38"/>
    </row>
    <row r="299" spans="1:12" x14ac:dyDescent="0.25">
      <c r="A299" s="46" t="s">
        <v>222</v>
      </c>
      <c r="B299" s="63"/>
      <c r="C299" s="47" t="s">
        <v>223</v>
      </c>
      <c r="D299" s="38">
        <v>406000</v>
      </c>
      <c r="E299" s="21">
        <v>0.1</v>
      </c>
      <c r="F299" s="38">
        <v>104432.22222222222</v>
      </c>
      <c r="G299" s="38">
        <f t="shared" si="63"/>
        <v>20300</v>
      </c>
      <c r="H299" s="38">
        <f t="shared" si="61"/>
        <v>124732.22222222222</v>
      </c>
      <c r="I299" s="38">
        <f t="shared" si="62"/>
        <v>281267.77777777775</v>
      </c>
      <c r="J299" s="38"/>
    </row>
    <row r="300" spans="1:12" x14ac:dyDescent="0.25">
      <c r="A300" s="46" t="s">
        <v>224</v>
      </c>
      <c r="B300" s="63"/>
      <c r="C300" s="47" t="s">
        <v>225</v>
      </c>
      <c r="D300" s="38">
        <v>14950</v>
      </c>
      <c r="E300" s="21">
        <v>0.1</v>
      </c>
      <c r="F300" s="38">
        <v>3828.8611111111113</v>
      </c>
      <c r="G300" s="38">
        <f t="shared" si="63"/>
        <v>747.5</v>
      </c>
      <c r="H300" s="38">
        <f t="shared" si="61"/>
        <v>4576.3611111111113</v>
      </c>
      <c r="I300" s="38">
        <f t="shared" si="62"/>
        <v>10373.638888888889</v>
      </c>
      <c r="J300" s="38"/>
    </row>
    <row r="301" spans="1:12" x14ac:dyDescent="0.25">
      <c r="A301" s="46" t="s">
        <v>226</v>
      </c>
      <c r="B301" s="63"/>
      <c r="C301" s="47" t="s">
        <v>227</v>
      </c>
      <c r="D301" s="38">
        <v>180000</v>
      </c>
      <c r="E301" s="21">
        <v>0.1</v>
      </c>
      <c r="F301" s="38">
        <v>44700</v>
      </c>
      <c r="G301" s="38">
        <f t="shared" si="63"/>
        <v>9000</v>
      </c>
      <c r="H301" s="38">
        <f t="shared" si="61"/>
        <v>53700</v>
      </c>
      <c r="I301" s="38">
        <f t="shared" si="62"/>
        <v>126300</v>
      </c>
      <c r="J301" s="38"/>
    </row>
    <row r="302" spans="1:12" x14ac:dyDescent="0.25">
      <c r="A302" s="46" t="s">
        <v>228</v>
      </c>
      <c r="B302" s="63"/>
      <c r="C302" s="47" t="s">
        <v>229</v>
      </c>
      <c r="D302" s="38">
        <v>23003.5</v>
      </c>
      <c r="E302" s="21">
        <v>0.1</v>
      </c>
      <c r="F302" s="38">
        <v>5699.7561111111117</v>
      </c>
      <c r="G302" s="38">
        <f t="shared" si="63"/>
        <v>1150.175</v>
      </c>
      <c r="H302" s="38">
        <f t="shared" si="61"/>
        <v>6849.9311111111119</v>
      </c>
      <c r="I302" s="38">
        <f t="shared" si="62"/>
        <v>16153.568888888887</v>
      </c>
      <c r="J302" s="38"/>
    </row>
    <row r="303" spans="1:12" x14ac:dyDescent="0.25">
      <c r="A303" s="46" t="s">
        <v>228</v>
      </c>
      <c r="B303" s="63"/>
      <c r="C303" s="47" t="s">
        <v>230</v>
      </c>
      <c r="D303" s="38">
        <v>6000</v>
      </c>
      <c r="E303" s="21">
        <v>0.1</v>
      </c>
      <c r="F303" s="38">
        <v>1486.6666666666667</v>
      </c>
      <c r="G303" s="38">
        <f t="shared" si="63"/>
        <v>300</v>
      </c>
      <c r="H303" s="38">
        <f t="shared" si="61"/>
        <v>1786.6666666666667</v>
      </c>
      <c r="I303" s="38">
        <f t="shared" si="62"/>
        <v>4213.333333333333</v>
      </c>
      <c r="J303" s="38"/>
    </row>
    <row r="304" spans="1:12" x14ac:dyDescent="0.25">
      <c r="A304" s="46" t="s">
        <v>231</v>
      </c>
      <c r="B304" s="63"/>
      <c r="C304" s="47" t="s">
        <v>232</v>
      </c>
      <c r="D304" s="38">
        <v>165000</v>
      </c>
      <c r="E304" s="21">
        <v>0.1</v>
      </c>
      <c r="F304" s="38">
        <v>40608.333333333328</v>
      </c>
      <c r="G304" s="38">
        <f t="shared" si="63"/>
        <v>8250</v>
      </c>
      <c r="H304" s="38">
        <f t="shared" si="61"/>
        <v>48858.333333333328</v>
      </c>
      <c r="I304" s="38">
        <f t="shared" si="62"/>
        <v>116141.66666666667</v>
      </c>
      <c r="J304" s="38"/>
    </row>
    <row r="305" spans="1:10" x14ac:dyDescent="0.25">
      <c r="A305" s="46" t="s">
        <v>233</v>
      </c>
      <c r="B305" s="63"/>
      <c r="C305" s="47" t="s">
        <v>234</v>
      </c>
      <c r="D305" s="38">
        <v>1048845</v>
      </c>
      <c r="E305" s="21">
        <v>0.1</v>
      </c>
      <c r="F305" s="38">
        <v>250266.07083333333</v>
      </c>
      <c r="G305" s="38">
        <f t="shared" si="63"/>
        <v>52442.25</v>
      </c>
      <c r="H305" s="38">
        <f t="shared" si="61"/>
        <v>302708.3208333333</v>
      </c>
      <c r="I305" s="38">
        <f t="shared" si="62"/>
        <v>746136.6791666667</v>
      </c>
      <c r="J305" s="38"/>
    </row>
    <row r="306" spans="1:10" x14ac:dyDescent="0.25">
      <c r="A306" s="46" t="s">
        <v>235</v>
      </c>
      <c r="B306" s="63"/>
      <c r="C306" s="47" t="s">
        <v>236</v>
      </c>
      <c r="D306" s="38">
        <v>45400</v>
      </c>
      <c r="E306" s="21">
        <v>0.1</v>
      </c>
      <c r="F306" s="38">
        <v>10454.611111111111</v>
      </c>
      <c r="G306" s="38">
        <f t="shared" si="63"/>
        <v>2270</v>
      </c>
      <c r="H306" s="38">
        <f t="shared" si="61"/>
        <v>12724.611111111111</v>
      </c>
      <c r="I306" s="38">
        <f t="shared" si="62"/>
        <v>32675.388888888891</v>
      </c>
      <c r="J306" s="38"/>
    </row>
    <row r="307" spans="1:10" x14ac:dyDescent="0.25">
      <c r="A307" s="46" t="s">
        <v>237</v>
      </c>
      <c r="B307" s="63"/>
      <c r="C307" s="47" t="s">
        <v>238</v>
      </c>
      <c r="D307" s="38">
        <v>42500</v>
      </c>
      <c r="E307" s="21">
        <v>0.1</v>
      </c>
      <c r="F307" s="38">
        <v>9515.2777777777774</v>
      </c>
      <c r="G307" s="38">
        <f t="shared" si="63"/>
        <v>2125</v>
      </c>
      <c r="H307" s="38">
        <f t="shared" si="61"/>
        <v>11640.277777777777</v>
      </c>
      <c r="I307" s="38">
        <f t="shared" si="62"/>
        <v>30859.722222222223</v>
      </c>
      <c r="J307" s="38"/>
    </row>
    <row r="308" spans="1:10" x14ac:dyDescent="0.25">
      <c r="A308" s="46" t="s">
        <v>239</v>
      </c>
      <c r="B308" s="63"/>
      <c r="C308" s="47" t="s">
        <v>240</v>
      </c>
      <c r="D308" s="38">
        <v>5300</v>
      </c>
      <c r="E308" s="21">
        <v>0.1</v>
      </c>
      <c r="F308" s="38">
        <v>1180.7222222222222</v>
      </c>
      <c r="G308" s="38">
        <f t="shared" si="63"/>
        <v>265</v>
      </c>
      <c r="H308" s="38">
        <f t="shared" si="61"/>
        <v>1445.7222222222222</v>
      </c>
      <c r="I308" s="38">
        <f t="shared" si="62"/>
        <v>3854.2777777777778</v>
      </c>
      <c r="J308" s="38"/>
    </row>
    <row r="309" spans="1:10" x14ac:dyDescent="0.25">
      <c r="A309" s="46" t="s">
        <v>241</v>
      </c>
      <c r="B309" s="63"/>
      <c r="C309" s="47" t="s">
        <v>242</v>
      </c>
      <c r="D309" s="38">
        <v>464000</v>
      </c>
      <c r="E309" s="21">
        <v>0.1</v>
      </c>
      <c r="F309" s="38">
        <v>102595.55555555556</v>
      </c>
      <c r="G309" s="38">
        <f t="shared" si="63"/>
        <v>23200</v>
      </c>
      <c r="H309" s="38">
        <f t="shared" si="61"/>
        <v>125795.55555555556</v>
      </c>
      <c r="I309" s="38">
        <f t="shared" si="62"/>
        <v>338204.44444444444</v>
      </c>
      <c r="J309" s="38"/>
    </row>
    <row r="310" spans="1:10" x14ac:dyDescent="0.25">
      <c r="A310" s="46" t="s">
        <v>241</v>
      </c>
      <c r="B310" s="63"/>
      <c r="C310" s="47" t="s">
        <v>243</v>
      </c>
      <c r="D310" s="38">
        <v>760000</v>
      </c>
      <c r="E310" s="21">
        <v>0.1</v>
      </c>
      <c r="F310" s="38">
        <v>168044.44444444444</v>
      </c>
      <c r="G310" s="38">
        <f t="shared" si="63"/>
        <v>38000</v>
      </c>
      <c r="H310" s="38">
        <f t="shared" si="61"/>
        <v>206044.44444444444</v>
      </c>
      <c r="I310" s="38">
        <f t="shared" si="62"/>
        <v>553955.5555555555</v>
      </c>
      <c r="J310" s="38"/>
    </row>
    <row r="311" spans="1:10" x14ac:dyDescent="0.25">
      <c r="A311" s="46" t="s">
        <v>244</v>
      </c>
      <c r="B311" s="63"/>
      <c r="C311" s="47" t="s">
        <v>245</v>
      </c>
      <c r="D311" s="38">
        <v>19700</v>
      </c>
      <c r="E311" s="21">
        <v>0.1</v>
      </c>
      <c r="F311" s="38">
        <v>4301.1666666666661</v>
      </c>
      <c r="G311" s="38">
        <f t="shared" si="63"/>
        <v>985</v>
      </c>
      <c r="H311" s="38">
        <f t="shared" si="61"/>
        <v>5286.1666666666661</v>
      </c>
      <c r="I311" s="38">
        <f t="shared" si="62"/>
        <v>14413.833333333334</v>
      </c>
      <c r="J311" s="38"/>
    </row>
    <row r="312" spans="1:10" x14ac:dyDescent="0.25">
      <c r="A312" s="46" t="s">
        <v>244</v>
      </c>
      <c r="B312" s="63"/>
      <c r="C312" s="47" t="s">
        <v>246</v>
      </c>
      <c r="D312" s="38">
        <v>1398460</v>
      </c>
      <c r="E312" s="21">
        <v>0.1</v>
      </c>
      <c r="F312" s="38">
        <v>305330.43333333335</v>
      </c>
      <c r="G312" s="38">
        <f t="shared" si="63"/>
        <v>69923</v>
      </c>
      <c r="H312" s="38">
        <f t="shared" si="61"/>
        <v>375253.43333333335</v>
      </c>
      <c r="I312" s="38">
        <f t="shared" si="62"/>
        <v>1023206.5666666667</v>
      </c>
      <c r="J312" s="38"/>
    </row>
    <row r="313" spans="1:10" x14ac:dyDescent="0.25">
      <c r="A313" s="46" t="s">
        <v>247</v>
      </c>
      <c r="B313" s="63"/>
      <c r="C313" s="47" t="s">
        <v>248</v>
      </c>
      <c r="D313" s="38">
        <v>10000</v>
      </c>
      <c r="E313" s="21">
        <v>0.1</v>
      </c>
      <c r="F313" s="38">
        <v>2152.7777777777778</v>
      </c>
      <c r="G313" s="38">
        <f t="shared" si="63"/>
        <v>500</v>
      </c>
      <c r="H313" s="38">
        <f t="shared" si="61"/>
        <v>2652.7777777777778</v>
      </c>
      <c r="I313" s="38">
        <f t="shared" si="62"/>
        <v>7347.2222222222226</v>
      </c>
      <c r="J313" s="38"/>
    </row>
    <row r="314" spans="1:10" x14ac:dyDescent="0.25">
      <c r="A314" s="46" t="s">
        <v>249</v>
      </c>
      <c r="B314" s="63"/>
      <c r="C314" s="47" t="s">
        <v>250</v>
      </c>
      <c r="D314" s="38">
        <v>2950</v>
      </c>
      <c r="E314" s="21">
        <v>0.1</v>
      </c>
      <c r="F314" s="38">
        <v>633.43055555555554</v>
      </c>
      <c r="G314" s="38">
        <f t="shared" si="63"/>
        <v>147.5</v>
      </c>
      <c r="H314" s="38">
        <f t="shared" si="61"/>
        <v>780.93055555555554</v>
      </c>
      <c r="I314" s="38">
        <f t="shared" si="62"/>
        <v>2169.0694444444443</v>
      </c>
      <c r="J314" s="38"/>
    </row>
    <row r="315" spans="1:10" x14ac:dyDescent="0.25">
      <c r="A315" s="46" t="s">
        <v>249</v>
      </c>
      <c r="B315" s="63"/>
      <c r="C315" s="47" t="s">
        <v>251</v>
      </c>
      <c r="D315" s="38">
        <v>4550</v>
      </c>
      <c r="E315" s="21">
        <v>0.1</v>
      </c>
      <c r="F315" s="38">
        <v>976.98611111111109</v>
      </c>
      <c r="G315" s="38">
        <f t="shared" si="63"/>
        <v>227.5</v>
      </c>
      <c r="H315" s="38">
        <f t="shared" si="61"/>
        <v>1204.4861111111111</v>
      </c>
      <c r="I315" s="38">
        <f t="shared" si="62"/>
        <v>3345.5138888888887</v>
      </c>
      <c r="J315" s="38"/>
    </row>
    <row r="316" spans="1:10" x14ac:dyDescent="0.25">
      <c r="A316" s="46" t="s">
        <v>252</v>
      </c>
      <c r="B316" s="63"/>
      <c r="C316" s="47" t="s">
        <v>253</v>
      </c>
      <c r="D316" s="38">
        <v>55000</v>
      </c>
      <c r="E316" s="21">
        <v>0.1</v>
      </c>
      <c r="F316" s="38">
        <v>11794.444444444445</v>
      </c>
      <c r="G316" s="38">
        <f t="shared" si="63"/>
        <v>2750</v>
      </c>
      <c r="H316" s="38">
        <f t="shared" si="61"/>
        <v>14544.444444444445</v>
      </c>
      <c r="I316" s="38">
        <f t="shared" si="62"/>
        <v>40455.555555555555</v>
      </c>
      <c r="J316" s="38"/>
    </row>
    <row r="317" spans="1:10" x14ac:dyDescent="0.25">
      <c r="A317" s="46" t="s">
        <v>252</v>
      </c>
      <c r="B317" s="63"/>
      <c r="C317" s="47" t="s">
        <v>253</v>
      </c>
      <c r="D317" s="38">
        <v>30000</v>
      </c>
      <c r="E317" s="21">
        <v>0.1</v>
      </c>
      <c r="F317" s="38">
        <v>6433.3333333333339</v>
      </c>
      <c r="G317" s="38">
        <f t="shared" si="63"/>
        <v>1500</v>
      </c>
      <c r="H317" s="38">
        <f t="shared" si="61"/>
        <v>7933.3333333333339</v>
      </c>
      <c r="I317" s="38">
        <f t="shared" si="62"/>
        <v>22066.666666666664</v>
      </c>
      <c r="J317" s="38"/>
    </row>
    <row r="318" spans="1:10" x14ac:dyDescent="0.25">
      <c r="A318" s="46" t="s">
        <v>252</v>
      </c>
      <c r="B318" s="63"/>
      <c r="C318" s="47" t="s">
        <v>253</v>
      </c>
      <c r="D318" s="38">
        <v>5000</v>
      </c>
      <c r="E318" s="21">
        <v>0.1</v>
      </c>
      <c r="F318" s="38">
        <v>1072.2222222222222</v>
      </c>
      <c r="G318" s="38">
        <f t="shared" si="63"/>
        <v>250</v>
      </c>
      <c r="H318" s="38">
        <f t="shared" si="61"/>
        <v>1322.2222222222222</v>
      </c>
      <c r="I318" s="38">
        <f t="shared" si="62"/>
        <v>3677.7777777777778</v>
      </c>
      <c r="J318" s="38"/>
    </row>
    <row r="319" spans="1:10" x14ac:dyDescent="0.25">
      <c r="A319" s="46" t="s">
        <v>252</v>
      </c>
      <c r="B319" s="63"/>
      <c r="C319" s="47" t="s">
        <v>254</v>
      </c>
      <c r="D319" s="38">
        <v>1914000</v>
      </c>
      <c r="E319" s="21">
        <v>0.1</v>
      </c>
      <c r="F319" s="38">
        <v>410446.66666666663</v>
      </c>
      <c r="G319" s="38">
        <f t="shared" si="63"/>
        <v>95700</v>
      </c>
      <c r="H319" s="38">
        <f t="shared" si="61"/>
        <v>506146.66666666663</v>
      </c>
      <c r="I319" s="38">
        <f t="shared" si="62"/>
        <v>1407853.3333333335</v>
      </c>
      <c r="J319" s="38"/>
    </row>
    <row r="320" spans="1:10" x14ac:dyDescent="0.25">
      <c r="A320" s="46" t="s">
        <v>255</v>
      </c>
      <c r="B320" s="63"/>
      <c r="C320" s="47" t="s">
        <v>256</v>
      </c>
      <c r="D320" s="38">
        <v>19800</v>
      </c>
      <c r="E320" s="21">
        <v>0.1</v>
      </c>
      <c r="F320" s="38">
        <v>4224</v>
      </c>
      <c r="G320" s="38">
        <f t="shared" si="63"/>
        <v>990</v>
      </c>
      <c r="H320" s="38">
        <f t="shared" si="61"/>
        <v>5214</v>
      </c>
      <c r="I320" s="38">
        <f t="shared" si="62"/>
        <v>14586</v>
      </c>
      <c r="J320" s="38"/>
    </row>
    <row r="321" spans="1:10" x14ac:dyDescent="0.25">
      <c r="A321" s="46" t="s">
        <v>257</v>
      </c>
      <c r="B321" s="63"/>
      <c r="C321" s="47" t="s">
        <v>258</v>
      </c>
      <c r="D321" s="38">
        <v>84550</v>
      </c>
      <c r="E321" s="21">
        <v>0.1</v>
      </c>
      <c r="F321" s="38">
        <v>17990.361111111109</v>
      </c>
      <c r="G321" s="38">
        <f t="shared" si="63"/>
        <v>4227.5</v>
      </c>
      <c r="H321" s="38">
        <f t="shared" si="61"/>
        <v>22217.861111111109</v>
      </c>
      <c r="I321" s="38">
        <f t="shared" si="62"/>
        <v>62332.138888888891</v>
      </c>
      <c r="J321" s="38"/>
    </row>
    <row r="322" spans="1:10" x14ac:dyDescent="0.25">
      <c r="A322" s="46" t="s">
        <v>259</v>
      </c>
      <c r="B322" s="63"/>
      <c r="C322" s="47" t="s">
        <v>260</v>
      </c>
      <c r="D322" s="38">
        <v>213346</v>
      </c>
      <c r="E322" s="21">
        <v>0.1</v>
      </c>
      <c r="F322" s="38">
        <v>63707.486111111124</v>
      </c>
      <c r="G322" s="38">
        <f t="shared" si="63"/>
        <v>10667.300000000001</v>
      </c>
      <c r="H322" s="38">
        <f t="shared" si="61"/>
        <v>74374.786111111127</v>
      </c>
      <c r="I322" s="38">
        <f t="shared" si="62"/>
        <v>138971.21388888889</v>
      </c>
      <c r="J322" s="38"/>
    </row>
    <row r="323" spans="1:10" x14ac:dyDescent="0.25">
      <c r="A323" s="46" t="s">
        <v>261</v>
      </c>
      <c r="B323" s="63"/>
      <c r="C323" s="47" t="s">
        <v>262</v>
      </c>
      <c r="D323" s="38">
        <v>177525</v>
      </c>
      <c r="E323" s="21">
        <v>0.1</v>
      </c>
      <c r="F323" s="38">
        <v>52665.75</v>
      </c>
      <c r="G323" s="38">
        <f t="shared" si="63"/>
        <v>8876.25</v>
      </c>
      <c r="H323" s="38">
        <f t="shared" si="61"/>
        <v>61542</v>
      </c>
      <c r="I323" s="38">
        <f t="shared" si="62"/>
        <v>115983</v>
      </c>
      <c r="J323" s="38"/>
    </row>
    <row r="324" spans="1:10" x14ac:dyDescent="0.25">
      <c r="A324" s="46" t="s">
        <v>263</v>
      </c>
      <c r="B324" s="63"/>
      <c r="C324" s="47" t="s">
        <v>264</v>
      </c>
      <c r="D324" s="38">
        <v>37715</v>
      </c>
      <c r="E324" s="21">
        <v>0.1</v>
      </c>
      <c r="F324" s="38">
        <v>11084.019444444444</v>
      </c>
      <c r="G324" s="38">
        <f t="shared" si="63"/>
        <v>1885.75</v>
      </c>
      <c r="H324" s="38">
        <f t="shared" si="61"/>
        <v>12969.769444444444</v>
      </c>
      <c r="I324" s="38">
        <f t="shared" si="62"/>
        <v>24745.230555555558</v>
      </c>
      <c r="J324" s="38"/>
    </row>
    <row r="325" spans="1:10" x14ac:dyDescent="0.25">
      <c r="A325" s="46" t="s">
        <v>265</v>
      </c>
      <c r="B325" s="63"/>
      <c r="C325" s="47" t="s">
        <v>266</v>
      </c>
      <c r="D325" s="38">
        <v>37715</v>
      </c>
      <c r="E325" s="21">
        <v>0.1</v>
      </c>
      <c r="F325" s="38">
        <v>10958.302777777779</v>
      </c>
      <c r="G325" s="38">
        <f t="shared" si="63"/>
        <v>1885.75</v>
      </c>
      <c r="H325" s="38">
        <f t="shared" si="61"/>
        <v>12844.052777777779</v>
      </c>
      <c r="I325" s="38">
        <f t="shared" si="62"/>
        <v>24870.947222222221</v>
      </c>
      <c r="J325" s="38"/>
    </row>
    <row r="326" spans="1:10" x14ac:dyDescent="0.25">
      <c r="A326" s="46" t="s">
        <v>267</v>
      </c>
      <c r="B326" s="63"/>
      <c r="C326" s="47" t="s">
        <v>268</v>
      </c>
      <c r="D326" s="38">
        <v>91434</v>
      </c>
      <c r="E326" s="21">
        <v>0.1</v>
      </c>
      <c r="F326" s="38">
        <v>26261.876666666663</v>
      </c>
      <c r="G326" s="38">
        <f t="shared" si="63"/>
        <v>4571.7</v>
      </c>
      <c r="H326" s="38">
        <f t="shared" si="61"/>
        <v>30833.576666666664</v>
      </c>
      <c r="I326" s="38">
        <f t="shared" si="62"/>
        <v>60600.42333333334</v>
      </c>
      <c r="J326" s="38"/>
    </row>
    <row r="327" spans="1:10" x14ac:dyDescent="0.25">
      <c r="A327" s="46" t="s">
        <v>269</v>
      </c>
      <c r="B327" s="63"/>
      <c r="C327" s="47" t="s">
        <v>270</v>
      </c>
      <c r="D327" s="38">
        <v>179212</v>
      </c>
      <c r="E327" s="21">
        <v>0.1</v>
      </c>
      <c r="F327" s="38">
        <v>49930.454444444447</v>
      </c>
      <c r="G327" s="38">
        <f t="shared" si="63"/>
        <v>8960.6</v>
      </c>
      <c r="H327" s="38">
        <f t="shared" si="61"/>
        <v>58891.054444444446</v>
      </c>
      <c r="I327" s="38">
        <f t="shared" si="62"/>
        <v>120320.94555555555</v>
      </c>
      <c r="J327" s="38"/>
    </row>
    <row r="328" spans="1:10" x14ac:dyDescent="0.25">
      <c r="A328" s="46" t="s">
        <v>271</v>
      </c>
      <c r="B328" s="63"/>
      <c r="C328" s="47" t="s">
        <v>272</v>
      </c>
      <c r="D328" s="38">
        <v>207812</v>
      </c>
      <c r="E328" s="21">
        <v>0.1</v>
      </c>
      <c r="F328" s="38">
        <v>56744.22111111111</v>
      </c>
      <c r="G328" s="38">
        <f t="shared" si="63"/>
        <v>10390.6</v>
      </c>
      <c r="H328" s="38">
        <f t="shared" si="61"/>
        <v>67134.821111111116</v>
      </c>
      <c r="I328" s="38">
        <f t="shared" si="62"/>
        <v>140677.17888888888</v>
      </c>
      <c r="J328" s="38"/>
    </row>
    <row r="329" spans="1:10" x14ac:dyDescent="0.25">
      <c r="A329" s="46" t="s">
        <v>271</v>
      </c>
      <c r="B329" s="63"/>
      <c r="C329" s="47" t="s">
        <v>273</v>
      </c>
      <c r="D329" s="38">
        <v>43177.5</v>
      </c>
      <c r="E329" s="21">
        <v>0.1</v>
      </c>
      <c r="F329" s="38">
        <v>11789.856250000001</v>
      </c>
      <c r="G329" s="38">
        <f t="shared" si="63"/>
        <v>2158.875</v>
      </c>
      <c r="H329" s="38">
        <f t="shared" si="61"/>
        <v>13948.731250000001</v>
      </c>
      <c r="I329" s="38">
        <f t="shared" si="62"/>
        <v>29228.768749999999</v>
      </c>
      <c r="J329" s="38"/>
    </row>
    <row r="330" spans="1:10" x14ac:dyDescent="0.25">
      <c r="A330" s="46" t="s">
        <v>271</v>
      </c>
      <c r="B330" s="63"/>
      <c r="C330" s="47" t="s">
        <v>274</v>
      </c>
      <c r="D330" s="38">
        <v>77007</v>
      </c>
      <c r="E330" s="21">
        <v>0.1</v>
      </c>
      <c r="F330" s="38">
        <v>21027.189166666671</v>
      </c>
      <c r="G330" s="38">
        <f t="shared" si="63"/>
        <v>3850.3500000000004</v>
      </c>
      <c r="H330" s="38">
        <f t="shared" si="61"/>
        <v>24877.539166666669</v>
      </c>
      <c r="I330" s="38">
        <f t="shared" si="62"/>
        <v>52129.460833333331</v>
      </c>
      <c r="J330" s="38"/>
    </row>
    <row r="331" spans="1:10" x14ac:dyDescent="0.25">
      <c r="A331" s="46" t="s">
        <v>271</v>
      </c>
      <c r="B331" s="63"/>
      <c r="C331" s="47" t="s">
        <v>275</v>
      </c>
      <c r="D331" s="38">
        <v>21482</v>
      </c>
      <c r="E331" s="21">
        <v>0.1</v>
      </c>
      <c r="F331" s="38">
        <v>5865.7794444444453</v>
      </c>
      <c r="G331" s="38">
        <f t="shared" si="63"/>
        <v>1074.1000000000001</v>
      </c>
      <c r="H331" s="38">
        <f t="shared" si="61"/>
        <v>6939.8794444444457</v>
      </c>
      <c r="I331" s="38">
        <f t="shared" si="62"/>
        <v>14542.120555555553</v>
      </c>
      <c r="J331" s="38"/>
    </row>
    <row r="332" spans="1:10" x14ac:dyDescent="0.25">
      <c r="A332" s="46" t="s">
        <v>276</v>
      </c>
      <c r="B332" s="63"/>
      <c r="C332" s="47" t="s">
        <v>277</v>
      </c>
      <c r="D332" s="38">
        <v>10000</v>
      </c>
      <c r="E332" s="21">
        <v>0.1</v>
      </c>
      <c r="F332" s="38">
        <v>2716.6666666666665</v>
      </c>
      <c r="G332" s="38">
        <f t="shared" si="63"/>
        <v>500</v>
      </c>
      <c r="H332" s="38">
        <f t="shared" si="61"/>
        <v>3216.6666666666665</v>
      </c>
      <c r="I332" s="38">
        <f t="shared" si="62"/>
        <v>6783.3333333333339</v>
      </c>
      <c r="J332" s="38"/>
    </row>
    <row r="333" spans="1:10" x14ac:dyDescent="0.25">
      <c r="A333" s="46" t="s">
        <v>278</v>
      </c>
      <c r="B333" s="63"/>
      <c r="C333" s="47" t="s">
        <v>279</v>
      </c>
      <c r="D333" s="38">
        <v>6500</v>
      </c>
      <c r="E333" s="21">
        <v>0.1</v>
      </c>
      <c r="F333" s="38">
        <v>1762.2222222222222</v>
      </c>
      <c r="G333" s="38">
        <f t="shared" si="63"/>
        <v>325</v>
      </c>
      <c r="H333" s="38">
        <f t="shared" si="61"/>
        <v>2087.2222222222222</v>
      </c>
      <c r="I333" s="38">
        <f t="shared" si="62"/>
        <v>4412.7777777777774</v>
      </c>
      <c r="J333" s="38"/>
    </row>
    <row r="334" spans="1:10" x14ac:dyDescent="0.25">
      <c r="A334" s="46" t="s">
        <v>280</v>
      </c>
      <c r="B334" s="63"/>
      <c r="C334" s="47" t="s">
        <v>281</v>
      </c>
      <c r="D334" s="38">
        <v>5800</v>
      </c>
      <c r="E334" s="21">
        <v>0.1</v>
      </c>
      <c r="F334" s="38">
        <v>1570.8333333333333</v>
      </c>
      <c r="G334" s="38">
        <f t="shared" si="63"/>
        <v>290</v>
      </c>
      <c r="H334" s="38">
        <f t="shared" si="61"/>
        <v>1860.8333333333333</v>
      </c>
      <c r="I334" s="38">
        <f t="shared" si="62"/>
        <v>3939.166666666667</v>
      </c>
      <c r="J334" s="38"/>
    </row>
    <row r="335" spans="1:10" x14ac:dyDescent="0.25">
      <c r="A335" s="46" t="s">
        <v>282</v>
      </c>
      <c r="B335" s="63"/>
      <c r="C335" s="47" t="s">
        <v>283</v>
      </c>
      <c r="D335" s="38">
        <v>43177.5</v>
      </c>
      <c r="E335" s="21">
        <v>0.1</v>
      </c>
      <c r="F335" s="38">
        <v>11597.956249999999</v>
      </c>
      <c r="G335" s="38">
        <f t="shared" si="63"/>
        <v>2158.875</v>
      </c>
      <c r="H335" s="38">
        <f t="shared" si="61"/>
        <v>13756.831249999999</v>
      </c>
      <c r="I335" s="38">
        <f t="shared" si="62"/>
        <v>29420.668750000001</v>
      </c>
      <c r="J335" s="38"/>
    </row>
    <row r="336" spans="1:10" x14ac:dyDescent="0.25">
      <c r="A336" s="46" t="s">
        <v>284</v>
      </c>
      <c r="B336" s="63"/>
      <c r="C336" s="47" t="s">
        <v>285</v>
      </c>
      <c r="D336" s="38">
        <v>96742</v>
      </c>
      <c r="E336" s="21">
        <v>0.1</v>
      </c>
      <c r="F336" s="38">
        <v>25636.63</v>
      </c>
      <c r="G336" s="38">
        <f t="shared" si="63"/>
        <v>4837.1000000000004</v>
      </c>
      <c r="H336" s="38">
        <f t="shared" si="61"/>
        <v>30473.730000000003</v>
      </c>
      <c r="I336" s="38">
        <f t="shared" si="62"/>
        <v>66268.26999999999</v>
      </c>
      <c r="J336" s="38"/>
    </row>
    <row r="337" spans="1:10" x14ac:dyDescent="0.25">
      <c r="A337" s="46" t="s">
        <v>286</v>
      </c>
      <c r="B337" s="63"/>
      <c r="C337" s="47" t="s">
        <v>287</v>
      </c>
      <c r="D337" s="38">
        <v>250000</v>
      </c>
      <c r="E337" s="21">
        <v>0.1</v>
      </c>
      <c r="F337" s="38">
        <v>65972.222222222219</v>
      </c>
      <c r="G337" s="38">
        <f t="shared" si="63"/>
        <v>12500</v>
      </c>
      <c r="H337" s="38">
        <f t="shared" si="61"/>
        <v>78472.222222222219</v>
      </c>
      <c r="I337" s="38">
        <f t="shared" si="62"/>
        <v>171527.77777777778</v>
      </c>
      <c r="J337" s="38"/>
    </row>
    <row r="338" spans="1:10" x14ac:dyDescent="0.25">
      <c r="A338" s="46" t="s">
        <v>288</v>
      </c>
      <c r="B338" s="63"/>
      <c r="C338" s="47" t="s">
        <v>289</v>
      </c>
      <c r="D338" s="38">
        <v>51338</v>
      </c>
      <c r="E338" s="21">
        <v>0.1</v>
      </c>
      <c r="F338" s="38">
        <v>13519.006666666668</v>
      </c>
      <c r="G338" s="38">
        <f t="shared" si="63"/>
        <v>2566.9</v>
      </c>
      <c r="H338" s="38">
        <f t="shared" si="61"/>
        <v>16085.906666666668</v>
      </c>
      <c r="I338" s="38">
        <f t="shared" si="62"/>
        <v>35252.093333333331</v>
      </c>
      <c r="J338" s="38"/>
    </row>
    <row r="339" spans="1:10" x14ac:dyDescent="0.25">
      <c r="A339" s="46" t="s">
        <v>290</v>
      </c>
      <c r="B339" s="63"/>
      <c r="C339" s="47" t="s">
        <v>291</v>
      </c>
      <c r="D339" s="38">
        <v>127600</v>
      </c>
      <c r="E339" s="21">
        <v>0.1</v>
      </c>
      <c r="F339" s="38">
        <v>33565.888888888891</v>
      </c>
      <c r="G339" s="38">
        <f t="shared" si="63"/>
        <v>6380</v>
      </c>
      <c r="H339" s="38">
        <f t="shared" si="61"/>
        <v>39945.888888888891</v>
      </c>
      <c r="I339" s="38">
        <f t="shared" si="62"/>
        <v>87654.111111111109</v>
      </c>
      <c r="J339" s="38"/>
    </row>
    <row r="340" spans="1:10" x14ac:dyDescent="0.25">
      <c r="A340" s="46" t="s">
        <v>290</v>
      </c>
      <c r="B340" s="63"/>
      <c r="C340" s="47" t="s">
        <v>292</v>
      </c>
      <c r="D340" s="38">
        <v>359600</v>
      </c>
      <c r="E340" s="21">
        <v>0.1</v>
      </c>
      <c r="F340" s="38">
        <v>94594.777777777781</v>
      </c>
      <c r="G340" s="38">
        <f t="shared" si="63"/>
        <v>17980</v>
      </c>
      <c r="H340" s="38">
        <f t="shared" si="61"/>
        <v>112574.77777777778</v>
      </c>
      <c r="I340" s="38">
        <f t="shared" si="62"/>
        <v>247025.22222222222</v>
      </c>
      <c r="J340" s="38"/>
    </row>
    <row r="341" spans="1:10" x14ac:dyDescent="0.25">
      <c r="A341" s="46" t="s">
        <v>290</v>
      </c>
      <c r="B341" s="63"/>
      <c r="C341" s="47" t="s">
        <v>293</v>
      </c>
      <c r="D341" s="38">
        <v>31100</v>
      </c>
      <c r="E341" s="21">
        <v>0.1</v>
      </c>
      <c r="F341" s="38">
        <v>8181.0277777777774</v>
      </c>
      <c r="G341" s="38">
        <f t="shared" si="63"/>
        <v>1555</v>
      </c>
      <c r="H341" s="38">
        <f t="shared" si="61"/>
        <v>9736.0277777777774</v>
      </c>
      <c r="I341" s="38">
        <f t="shared" si="62"/>
        <v>21363.972222222223</v>
      </c>
      <c r="J341" s="38"/>
    </row>
    <row r="342" spans="1:10" x14ac:dyDescent="0.25">
      <c r="A342" s="46" t="s">
        <v>294</v>
      </c>
      <c r="B342" s="63"/>
      <c r="C342" s="47" t="s">
        <v>295</v>
      </c>
      <c r="D342" s="38">
        <v>22000</v>
      </c>
      <c r="E342" s="21">
        <v>0.1</v>
      </c>
      <c r="F342" s="38">
        <v>5762.7777777777774</v>
      </c>
      <c r="G342" s="38">
        <f t="shared" si="63"/>
        <v>1100</v>
      </c>
      <c r="H342" s="38">
        <f t="shared" si="61"/>
        <v>6862.7777777777774</v>
      </c>
      <c r="I342" s="38">
        <f t="shared" si="62"/>
        <v>15137.222222222223</v>
      </c>
      <c r="J342" s="38"/>
    </row>
    <row r="343" spans="1:10" x14ac:dyDescent="0.25">
      <c r="A343" s="46" t="s">
        <v>294</v>
      </c>
      <c r="B343" s="63"/>
      <c r="C343" s="47" t="s">
        <v>296</v>
      </c>
      <c r="D343" s="38">
        <v>27500</v>
      </c>
      <c r="E343" s="21">
        <v>0.1</v>
      </c>
      <c r="F343" s="38">
        <v>7203.4722222222226</v>
      </c>
      <c r="G343" s="38">
        <f t="shared" si="63"/>
        <v>1375</v>
      </c>
      <c r="H343" s="38">
        <f t="shared" si="61"/>
        <v>8578.4722222222226</v>
      </c>
      <c r="I343" s="38">
        <f t="shared" si="62"/>
        <v>18921.527777777777</v>
      </c>
      <c r="J343" s="38"/>
    </row>
    <row r="344" spans="1:10" x14ac:dyDescent="0.25">
      <c r="A344" s="46" t="s">
        <v>297</v>
      </c>
      <c r="B344" s="63"/>
      <c r="C344" s="47" t="s">
        <v>298</v>
      </c>
      <c r="D344" s="38">
        <v>2500</v>
      </c>
      <c r="E344" s="21">
        <v>0.1</v>
      </c>
      <c r="F344" s="38">
        <v>654.16666666666663</v>
      </c>
      <c r="G344" s="38">
        <f t="shared" si="63"/>
        <v>125</v>
      </c>
      <c r="H344" s="38">
        <f t="shared" si="61"/>
        <v>779.16666666666663</v>
      </c>
      <c r="I344" s="38">
        <f t="shared" si="62"/>
        <v>1720.8333333333335</v>
      </c>
      <c r="J344" s="38"/>
    </row>
    <row r="345" spans="1:10" x14ac:dyDescent="0.25">
      <c r="A345" s="46" t="s">
        <v>299</v>
      </c>
      <c r="B345" s="63"/>
      <c r="C345" s="47" t="s">
        <v>300</v>
      </c>
      <c r="D345" s="38">
        <v>28050</v>
      </c>
      <c r="E345" s="21">
        <v>0.1</v>
      </c>
      <c r="F345" s="38">
        <v>7222.875</v>
      </c>
      <c r="G345" s="38">
        <f t="shared" si="63"/>
        <v>1402.5</v>
      </c>
      <c r="H345" s="38">
        <f t="shared" si="61"/>
        <v>8625.375</v>
      </c>
      <c r="I345" s="38">
        <f t="shared" si="62"/>
        <v>19424.625</v>
      </c>
      <c r="J345" s="38"/>
    </row>
    <row r="346" spans="1:10" x14ac:dyDescent="0.25">
      <c r="A346" s="46" t="s">
        <v>301</v>
      </c>
      <c r="B346" s="63"/>
      <c r="C346" s="47" t="s">
        <v>302</v>
      </c>
      <c r="D346" s="38">
        <v>63750</v>
      </c>
      <c r="E346" s="21">
        <v>0.1</v>
      </c>
      <c r="F346" s="38">
        <v>15884.375</v>
      </c>
      <c r="G346" s="38">
        <f t="shared" si="63"/>
        <v>3187.5</v>
      </c>
      <c r="H346" s="38">
        <f t="shared" si="61"/>
        <v>19071.875</v>
      </c>
      <c r="I346" s="38">
        <f t="shared" si="62"/>
        <v>44678.125</v>
      </c>
      <c r="J346" s="38"/>
    </row>
    <row r="347" spans="1:10" x14ac:dyDescent="0.25">
      <c r="A347" s="46" t="s">
        <v>301</v>
      </c>
      <c r="B347" s="63"/>
      <c r="C347" s="47" t="s">
        <v>303</v>
      </c>
      <c r="D347" s="38">
        <v>63750</v>
      </c>
      <c r="E347" s="21">
        <v>0.1</v>
      </c>
      <c r="F347" s="38">
        <v>15884.375</v>
      </c>
      <c r="G347" s="38">
        <f t="shared" si="63"/>
        <v>3187.5</v>
      </c>
      <c r="H347" s="38">
        <f t="shared" si="61"/>
        <v>19071.875</v>
      </c>
      <c r="I347" s="38">
        <f t="shared" si="62"/>
        <v>44678.125</v>
      </c>
      <c r="J347" s="38"/>
    </row>
    <row r="348" spans="1:10" x14ac:dyDescent="0.25">
      <c r="A348" s="46" t="s">
        <v>304</v>
      </c>
      <c r="B348" s="63"/>
      <c r="C348" s="47" t="s">
        <v>305</v>
      </c>
      <c r="D348" s="38">
        <v>45929</v>
      </c>
      <c r="E348" s="21">
        <v>0.1</v>
      </c>
      <c r="F348" s="38">
        <v>11392.943611111114</v>
      </c>
      <c r="G348" s="38">
        <f t="shared" si="63"/>
        <v>2296.4500000000003</v>
      </c>
      <c r="H348" s="38">
        <f t="shared" si="61"/>
        <v>13689.393611111114</v>
      </c>
      <c r="I348" s="38">
        <f t="shared" si="62"/>
        <v>32239.606388888886</v>
      </c>
      <c r="J348" s="38"/>
    </row>
    <row r="349" spans="1:10" x14ac:dyDescent="0.25">
      <c r="A349" s="46" t="s">
        <v>304</v>
      </c>
      <c r="B349" s="63"/>
      <c r="C349" s="47" t="s">
        <v>306</v>
      </c>
      <c r="D349" s="38">
        <v>45929</v>
      </c>
      <c r="E349" s="21">
        <v>0.1</v>
      </c>
      <c r="F349" s="38">
        <v>11392.943611111114</v>
      </c>
      <c r="G349" s="38">
        <f t="shared" si="63"/>
        <v>2296.4500000000003</v>
      </c>
      <c r="H349" s="38">
        <f t="shared" si="61"/>
        <v>13689.393611111114</v>
      </c>
      <c r="I349" s="38">
        <f t="shared" si="62"/>
        <v>32239.606388888886</v>
      </c>
      <c r="J349" s="38"/>
    </row>
    <row r="350" spans="1:10" x14ac:dyDescent="0.25">
      <c r="A350" s="46" t="s">
        <v>307</v>
      </c>
      <c r="B350" s="63"/>
      <c r="C350" s="47" t="s">
        <v>308</v>
      </c>
      <c r="D350" s="38">
        <v>262500</v>
      </c>
      <c r="E350" s="21">
        <v>0.1</v>
      </c>
      <c r="F350" s="38">
        <v>64458.333333333336</v>
      </c>
      <c r="G350" s="38">
        <f t="shared" si="63"/>
        <v>13125</v>
      </c>
      <c r="H350" s="38">
        <f t="shared" si="61"/>
        <v>77583.333333333343</v>
      </c>
      <c r="I350" s="38">
        <f t="shared" si="62"/>
        <v>184916.66666666666</v>
      </c>
      <c r="J350" s="38"/>
    </row>
    <row r="351" spans="1:10" x14ac:dyDescent="0.25">
      <c r="A351" s="46" t="s">
        <v>309</v>
      </c>
      <c r="B351" s="63"/>
      <c r="C351" s="47" t="s">
        <v>310</v>
      </c>
      <c r="D351" s="38">
        <v>300000</v>
      </c>
      <c r="E351" s="21">
        <v>0.1</v>
      </c>
      <c r="F351" s="38">
        <v>71000</v>
      </c>
      <c r="G351" s="38">
        <f t="shared" si="63"/>
        <v>15000</v>
      </c>
      <c r="H351" s="38">
        <f t="shared" si="61"/>
        <v>86000</v>
      </c>
      <c r="I351" s="38">
        <f t="shared" si="62"/>
        <v>214000</v>
      </c>
      <c r="J351" s="38"/>
    </row>
    <row r="352" spans="1:10" x14ac:dyDescent="0.25">
      <c r="A352" s="46" t="s">
        <v>311</v>
      </c>
      <c r="B352" s="63"/>
      <c r="C352" s="47" t="s">
        <v>312</v>
      </c>
      <c r="D352" s="38">
        <v>13000</v>
      </c>
      <c r="E352" s="21">
        <v>0.1</v>
      </c>
      <c r="F352" s="38">
        <v>3069.4444444444443</v>
      </c>
      <c r="G352" s="38">
        <f t="shared" si="63"/>
        <v>650</v>
      </c>
      <c r="H352" s="38">
        <f t="shared" si="61"/>
        <v>3719.4444444444443</v>
      </c>
      <c r="I352" s="38">
        <f t="shared" si="62"/>
        <v>9280.5555555555547</v>
      </c>
      <c r="J352" s="38"/>
    </row>
    <row r="353" spans="1:10" x14ac:dyDescent="0.25">
      <c r="A353" s="46" t="s">
        <v>313</v>
      </c>
      <c r="B353" s="63"/>
      <c r="C353" s="47" t="s">
        <v>314</v>
      </c>
      <c r="D353" s="38">
        <v>75000</v>
      </c>
      <c r="E353" s="21">
        <v>0.1</v>
      </c>
      <c r="F353" s="38">
        <v>17687.5</v>
      </c>
      <c r="G353" s="38">
        <f t="shared" si="63"/>
        <v>3750</v>
      </c>
      <c r="H353" s="38">
        <f t="shared" si="61"/>
        <v>21437.5</v>
      </c>
      <c r="I353" s="38">
        <f t="shared" si="62"/>
        <v>53562.5</v>
      </c>
      <c r="J353" s="38"/>
    </row>
    <row r="354" spans="1:10" x14ac:dyDescent="0.25">
      <c r="A354" s="46" t="s">
        <v>315</v>
      </c>
      <c r="B354" s="63"/>
      <c r="C354" s="47" t="s">
        <v>316</v>
      </c>
      <c r="D354" s="38">
        <v>14000</v>
      </c>
      <c r="E354" s="21">
        <v>0.1</v>
      </c>
      <c r="F354" s="38">
        <v>3282.2222222222222</v>
      </c>
      <c r="G354" s="38">
        <f t="shared" si="63"/>
        <v>700</v>
      </c>
      <c r="H354" s="38">
        <f t="shared" si="61"/>
        <v>3982.2222222222222</v>
      </c>
      <c r="I354" s="38">
        <f t="shared" si="62"/>
        <v>10017.777777777777</v>
      </c>
      <c r="J354" s="38"/>
    </row>
    <row r="355" spans="1:10" x14ac:dyDescent="0.25">
      <c r="A355" s="46" t="s">
        <v>315</v>
      </c>
      <c r="B355" s="63"/>
      <c r="C355" s="47" t="s">
        <v>317</v>
      </c>
      <c r="D355" s="38">
        <v>312500</v>
      </c>
      <c r="E355" s="21">
        <v>0.1</v>
      </c>
      <c r="F355" s="38">
        <v>73263.888888888891</v>
      </c>
      <c r="G355" s="38">
        <f t="shared" si="63"/>
        <v>15625</v>
      </c>
      <c r="H355" s="38">
        <f t="shared" si="61"/>
        <v>88888.888888888891</v>
      </c>
      <c r="I355" s="38">
        <f t="shared" si="62"/>
        <v>223611.11111111112</v>
      </c>
      <c r="J355" s="38"/>
    </row>
    <row r="356" spans="1:10" x14ac:dyDescent="0.25">
      <c r="A356" s="46" t="s">
        <v>318</v>
      </c>
      <c r="B356" s="63"/>
      <c r="C356" s="47" t="s">
        <v>319</v>
      </c>
      <c r="D356" s="38">
        <v>11000</v>
      </c>
      <c r="E356" s="21">
        <v>0.1</v>
      </c>
      <c r="F356" s="38">
        <v>2572.7777777777778</v>
      </c>
      <c r="G356" s="38">
        <f t="shared" si="63"/>
        <v>550</v>
      </c>
      <c r="H356" s="38">
        <f t="shared" si="61"/>
        <v>3122.7777777777778</v>
      </c>
      <c r="I356" s="38">
        <f t="shared" si="62"/>
        <v>7877.2222222222226</v>
      </c>
      <c r="J356" s="38"/>
    </row>
    <row r="357" spans="1:10" x14ac:dyDescent="0.25">
      <c r="A357" s="46" t="s">
        <v>320</v>
      </c>
      <c r="B357" s="63"/>
      <c r="C357" s="47" t="s">
        <v>321</v>
      </c>
      <c r="D357" s="38">
        <v>95100</v>
      </c>
      <c r="E357" s="21">
        <v>0.1</v>
      </c>
      <c r="F357" s="38">
        <v>21952.25</v>
      </c>
      <c r="G357" s="38">
        <f t="shared" si="63"/>
        <v>4755</v>
      </c>
      <c r="H357" s="38">
        <f t="shared" si="61"/>
        <v>26707.25</v>
      </c>
      <c r="I357" s="38">
        <f t="shared" si="62"/>
        <v>68392.75</v>
      </c>
      <c r="J357" s="38"/>
    </row>
    <row r="358" spans="1:10" x14ac:dyDescent="0.25">
      <c r="A358" s="46" t="s">
        <v>322</v>
      </c>
      <c r="B358" s="63"/>
      <c r="C358" s="47" t="s">
        <v>323</v>
      </c>
      <c r="D358" s="38">
        <v>18850</v>
      </c>
      <c r="E358" s="21">
        <v>0.1</v>
      </c>
      <c r="F358" s="38">
        <v>4256.9583333333339</v>
      </c>
      <c r="G358" s="38">
        <f t="shared" ref="G358:G374" si="64">E358*D358*6/12</f>
        <v>942.5</v>
      </c>
      <c r="H358" s="38">
        <f t="shared" si="61"/>
        <v>5199.4583333333339</v>
      </c>
      <c r="I358" s="38">
        <f t="shared" si="62"/>
        <v>13650.541666666666</v>
      </c>
      <c r="J358" s="38"/>
    </row>
    <row r="359" spans="1:10" x14ac:dyDescent="0.25">
      <c r="A359" s="46" t="s">
        <v>324</v>
      </c>
      <c r="B359" s="63"/>
      <c r="C359" s="47" t="s">
        <v>325</v>
      </c>
      <c r="D359" s="38">
        <v>43043</v>
      </c>
      <c r="E359" s="21">
        <v>0.1</v>
      </c>
      <c r="F359" s="38">
        <v>9577.067500000001</v>
      </c>
      <c r="G359" s="38">
        <f t="shared" si="64"/>
        <v>2152.15</v>
      </c>
      <c r="H359" s="38">
        <f t="shared" si="61"/>
        <v>11729.217500000001</v>
      </c>
      <c r="I359" s="38">
        <f t="shared" si="62"/>
        <v>31313.782500000001</v>
      </c>
      <c r="J359" s="38"/>
    </row>
    <row r="360" spans="1:10" x14ac:dyDescent="0.25">
      <c r="A360" s="46" t="s">
        <v>326</v>
      </c>
      <c r="B360" s="63"/>
      <c r="C360" s="47" t="s">
        <v>327</v>
      </c>
      <c r="D360" s="38">
        <v>380000</v>
      </c>
      <c r="E360" s="21">
        <v>0.1</v>
      </c>
      <c r="F360" s="38">
        <v>82333.333333333343</v>
      </c>
      <c r="G360" s="38">
        <f t="shared" si="64"/>
        <v>19000</v>
      </c>
      <c r="H360" s="38">
        <f t="shared" si="61"/>
        <v>101333.33333333334</v>
      </c>
      <c r="I360" s="38">
        <f t="shared" si="62"/>
        <v>278666.66666666663</v>
      </c>
      <c r="J360" s="38"/>
    </row>
    <row r="361" spans="1:10" x14ac:dyDescent="0.25">
      <c r="A361" s="46" t="s">
        <v>326</v>
      </c>
      <c r="B361" s="63"/>
      <c r="C361" s="47" t="s">
        <v>328</v>
      </c>
      <c r="D361" s="38">
        <v>37720</v>
      </c>
      <c r="E361" s="21">
        <v>0.1</v>
      </c>
      <c r="F361" s="38">
        <v>8172.666666666667</v>
      </c>
      <c r="G361" s="38">
        <f t="shared" si="64"/>
        <v>1886</v>
      </c>
      <c r="H361" s="38">
        <f t="shared" si="61"/>
        <v>10058.666666666668</v>
      </c>
      <c r="I361" s="38">
        <f t="shared" si="62"/>
        <v>27661.333333333332</v>
      </c>
      <c r="J361" s="38"/>
    </row>
    <row r="362" spans="1:10" x14ac:dyDescent="0.25">
      <c r="A362" s="46" t="s">
        <v>326</v>
      </c>
      <c r="B362" s="63"/>
      <c r="C362" s="47" t="s">
        <v>329</v>
      </c>
      <c r="D362" s="38">
        <v>143982</v>
      </c>
      <c r="E362" s="21">
        <v>0.1</v>
      </c>
      <c r="F362" s="38">
        <v>31196.100000000006</v>
      </c>
      <c r="G362" s="38">
        <f t="shared" si="64"/>
        <v>7199.1000000000013</v>
      </c>
      <c r="H362" s="38">
        <f t="shared" si="61"/>
        <v>38395.200000000004</v>
      </c>
      <c r="I362" s="38">
        <f t="shared" si="62"/>
        <v>105586.79999999999</v>
      </c>
      <c r="J362" s="38"/>
    </row>
    <row r="363" spans="1:10" x14ac:dyDescent="0.25">
      <c r="A363" s="46" t="s">
        <v>330</v>
      </c>
      <c r="B363" s="63"/>
      <c r="C363" s="47" t="s">
        <v>331</v>
      </c>
      <c r="D363" s="38">
        <v>1232000</v>
      </c>
      <c r="E363" s="21">
        <v>0.1</v>
      </c>
      <c r="F363" s="38">
        <v>266248.88888888888</v>
      </c>
      <c r="G363" s="38">
        <f t="shared" si="64"/>
        <v>61600</v>
      </c>
      <c r="H363" s="38">
        <f t="shared" si="61"/>
        <v>327848.88888888888</v>
      </c>
      <c r="I363" s="38">
        <f t="shared" si="62"/>
        <v>904151.11111111112</v>
      </c>
      <c r="J363" s="38"/>
    </row>
    <row r="364" spans="1:10" x14ac:dyDescent="0.25">
      <c r="A364" s="46" t="s">
        <v>249</v>
      </c>
      <c r="B364" s="63"/>
      <c r="C364" s="47" t="s">
        <v>250</v>
      </c>
      <c r="D364" s="38">
        <v>9000</v>
      </c>
      <c r="E364" s="21">
        <v>0.1</v>
      </c>
      <c r="F364" s="38">
        <v>1932.5</v>
      </c>
      <c r="G364" s="38">
        <f t="shared" si="64"/>
        <v>450</v>
      </c>
      <c r="H364" s="38">
        <f t="shared" si="61"/>
        <v>2382.5</v>
      </c>
      <c r="I364" s="38">
        <f t="shared" si="62"/>
        <v>6617.5</v>
      </c>
      <c r="J364" s="38"/>
    </row>
    <row r="365" spans="1:10" x14ac:dyDescent="0.25">
      <c r="A365" s="46" t="s">
        <v>332</v>
      </c>
      <c r="B365" s="63"/>
      <c r="C365" s="47" t="s">
        <v>333</v>
      </c>
      <c r="D365" s="38">
        <v>28959</v>
      </c>
      <c r="E365" s="21">
        <v>0.1</v>
      </c>
      <c r="F365" s="38">
        <v>6153.7875000000004</v>
      </c>
      <c r="G365" s="38">
        <f t="shared" si="64"/>
        <v>1447.95</v>
      </c>
      <c r="H365" s="38">
        <f t="shared" si="61"/>
        <v>7601.7375000000002</v>
      </c>
      <c r="I365" s="38">
        <f t="shared" si="62"/>
        <v>21357.262500000001</v>
      </c>
      <c r="J365" s="38"/>
    </row>
    <row r="366" spans="1:10" x14ac:dyDescent="0.25">
      <c r="A366" s="46" t="s">
        <v>334</v>
      </c>
      <c r="B366" s="63"/>
      <c r="C366" s="47" t="s">
        <v>335</v>
      </c>
      <c r="D366" s="38">
        <v>55854</v>
      </c>
      <c r="E366" s="21">
        <v>0.1</v>
      </c>
      <c r="F366" s="38">
        <v>11589.705000000002</v>
      </c>
      <c r="G366" s="38">
        <f t="shared" si="64"/>
        <v>2792.7000000000003</v>
      </c>
      <c r="H366" s="38">
        <f t="shared" si="61"/>
        <v>14382.405000000002</v>
      </c>
      <c r="I366" s="38">
        <f t="shared" si="62"/>
        <v>41471.595000000001</v>
      </c>
      <c r="J366" s="38"/>
    </row>
    <row r="367" spans="1:10" x14ac:dyDescent="0.25">
      <c r="A367" s="46" t="s">
        <v>334</v>
      </c>
      <c r="B367" s="63"/>
      <c r="C367" s="47" t="s">
        <v>336</v>
      </c>
      <c r="D367" s="38">
        <v>37698</v>
      </c>
      <c r="E367" s="21">
        <v>0.1</v>
      </c>
      <c r="F367" s="38">
        <v>7822.3350000000009</v>
      </c>
      <c r="G367" s="38">
        <f t="shared" si="64"/>
        <v>1884.9000000000003</v>
      </c>
      <c r="H367" s="38">
        <f t="shared" ref="H367:H374" si="65">G367+F367</f>
        <v>9707.2350000000006</v>
      </c>
      <c r="I367" s="38">
        <f t="shared" ref="I367:I374" si="66">D367-H367</f>
        <v>27990.764999999999</v>
      </c>
      <c r="J367" s="38"/>
    </row>
    <row r="368" spans="1:10" x14ac:dyDescent="0.25">
      <c r="A368" s="46" t="s">
        <v>337</v>
      </c>
      <c r="B368" s="63"/>
      <c r="C368" s="47" t="s">
        <v>338</v>
      </c>
      <c r="D368" s="38">
        <v>1316000</v>
      </c>
      <c r="E368" s="21">
        <v>0.1</v>
      </c>
      <c r="F368" s="38">
        <v>271607.77777777775</v>
      </c>
      <c r="G368" s="38">
        <f t="shared" si="64"/>
        <v>65800</v>
      </c>
      <c r="H368" s="38">
        <f t="shared" si="65"/>
        <v>337407.77777777775</v>
      </c>
      <c r="I368" s="38">
        <f t="shared" si="66"/>
        <v>978592.22222222225</v>
      </c>
      <c r="J368" s="38"/>
    </row>
    <row r="369" spans="1:12" x14ac:dyDescent="0.25">
      <c r="A369" s="46" t="s">
        <v>339</v>
      </c>
      <c r="B369" s="63"/>
      <c r="C369" s="47" t="s">
        <v>340</v>
      </c>
      <c r="D369" s="38">
        <v>699230</v>
      </c>
      <c r="E369" s="21">
        <v>0.1</v>
      </c>
      <c r="F369" s="38">
        <v>146061.37777777779</v>
      </c>
      <c r="G369" s="38">
        <f t="shared" si="64"/>
        <v>34961.5</v>
      </c>
      <c r="H369" s="38">
        <f t="shared" si="65"/>
        <v>181022.87777777779</v>
      </c>
      <c r="I369" s="38">
        <f t="shared" si="66"/>
        <v>518207.12222222221</v>
      </c>
      <c r="J369" s="38"/>
    </row>
    <row r="370" spans="1:12" x14ac:dyDescent="0.25">
      <c r="A370" s="46">
        <v>45278</v>
      </c>
      <c r="B370" s="63"/>
      <c r="C370" s="47" t="s">
        <v>341</v>
      </c>
      <c r="D370" s="38">
        <v>37698</v>
      </c>
      <c r="E370" s="21">
        <v>0.1</v>
      </c>
      <c r="F370" s="38">
        <v>7675.7316666666684</v>
      </c>
      <c r="G370" s="38">
        <f t="shared" si="64"/>
        <v>1884.9000000000003</v>
      </c>
      <c r="H370" s="38">
        <f t="shared" si="65"/>
        <v>9560.631666666668</v>
      </c>
      <c r="I370" s="38">
        <f t="shared" si="66"/>
        <v>28137.368333333332</v>
      </c>
      <c r="J370" s="38"/>
    </row>
    <row r="371" spans="1:12" x14ac:dyDescent="0.25">
      <c r="A371" s="46">
        <v>45278</v>
      </c>
      <c r="B371" s="63"/>
      <c r="C371" s="47" t="s">
        <v>342</v>
      </c>
      <c r="D371" s="38">
        <v>84000</v>
      </c>
      <c r="E371" s="21">
        <v>0.1</v>
      </c>
      <c r="F371" s="38">
        <v>17103.333333333336</v>
      </c>
      <c r="G371" s="38">
        <f t="shared" si="64"/>
        <v>4200</v>
      </c>
      <c r="H371" s="38">
        <f t="shared" si="65"/>
        <v>21303.333333333336</v>
      </c>
      <c r="I371" s="38">
        <f t="shared" si="66"/>
        <v>62696.666666666664</v>
      </c>
      <c r="J371" s="38"/>
    </row>
    <row r="372" spans="1:12" x14ac:dyDescent="0.25">
      <c r="A372" s="46">
        <v>45279</v>
      </c>
      <c r="B372" s="63"/>
      <c r="C372" s="47" t="s">
        <v>343</v>
      </c>
      <c r="D372" s="38">
        <v>55600</v>
      </c>
      <c r="E372" s="21">
        <v>0.1</v>
      </c>
      <c r="F372" s="38">
        <v>11305.333333333332</v>
      </c>
      <c r="G372" s="38">
        <f t="shared" si="64"/>
        <v>2780</v>
      </c>
      <c r="H372" s="38">
        <f t="shared" si="65"/>
        <v>14085.333333333332</v>
      </c>
      <c r="I372" s="38">
        <f t="shared" si="66"/>
        <v>41514.666666666672</v>
      </c>
      <c r="J372" s="38"/>
    </row>
    <row r="373" spans="1:12" x14ac:dyDescent="0.25">
      <c r="A373" s="46">
        <v>45280</v>
      </c>
      <c r="B373" s="63"/>
      <c r="C373" s="47"/>
      <c r="D373" s="38">
        <v>593000</v>
      </c>
      <c r="E373" s="21">
        <v>0.1</v>
      </c>
      <c r="F373" s="38">
        <v>120411.94444444444</v>
      </c>
      <c r="G373" s="38">
        <f t="shared" si="64"/>
        <v>29650</v>
      </c>
      <c r="H373" s="38">
        <f t="shared" si="65"/>
        <v>150061.94444444444</v>
      </c>
      <c r="I373" s="38">
        <f t="shared" si="66"/>
        <v>442938.05555555556</v>
      </c>
      <c r="J373" s="38"/>
    </row>
    <row r="374" spans="1:12" x14ac:dyDescent="0.25">
      <c r="A374" s="46">
        <v>45287</v>
      </c>
      <c r="B374" s="63"/>
      <c r="C374" s="47" t="s">
        <v>344</v>
      </c>
      <c r="D374" s="38">
        <v>235000</v>
      </c>
      <c r="E374" s="21">
        <v>0.1</v>
      </c>
      <c r="F374" s="38">
        <v>47261.111111111109</v>
      </c>
      <c r="G374" s="38">
        <f t="shared" si="64"/>
        <v>11750</v>
      </c>
      <c r="H374" s="38">
        <f t="shared" si="65"/>
        <v>59011.111111111109</v>
      </c>
      <c r="I374" s="38">
        <f t="shared" si="66"/>
        <v>175988.88888888888</v>
      </c>
      <c r="J374" s="38"/>
    </row>
    <row r="375" spans="1:12" ht="13" x14ac:dyDescent="0.3">
      <c r="A375" s="42">
        <v>45291</v>
      </c>
      <c r="B375" s="43"/>
      <c r="C375" s="43" t="s">
        <v>345</v>
      </c>
      <c r="D375" s="44">
        <f>SUM(D292:D374)</f>
        <v>134069798.44</v>
      </c>
      <c r="E375" s="44"/>
      <c r="F375" s="44">
        <f>SUM(F292:F374)</f>
        <v>61115635.356722221</v>
      </c>
      <c r="G375" s="44">
        <f t="shared" ref="G375:H375" si="67">SUM(G292:G374)</f>
        <v>5972945.7386666667</v>
      </c>
      <c r="H375" s="44">
        <f t="shared" si="67"/>
        <v>67088581.095388897</v>
      </c>
      <c r="I375" s="44">
        <f>SUM(I292:I374)</f>
        <v>66981217.344611101</v>
      </c>
      <c r="J375" s="44"/>
    </row>
    <row r="376" spans="1:12" x14ac:dyDescent="0.25">
      <c r="D376" s="49"/>
      <c r="E376" s="49"/>
      <c r="F376" s="49"/>
      <c r="I376" s="49"/>
      <c r="J376" s="49"/>
    </row>
    <row r="377" spans="1:12" x14ac:dyDescent="0.25">
      <c r="D377" s="49"/>
      <c r="E377" s="49"/>
      <c r="F377" s="49"/>
      <c r="I377" s="49"/>
      <c r="J377" s="49"/>
    </row>
    <row r="378" spans="1:12" ht="13" x14ac:dyDescent="0.3">
      <c r="A378" s="42">
        <v>45292</v>
      </c>
      <c r="B378" s="43"/>
      <c r="C378" s="43" t="s">
        <v>346</v>
      </c>
      <c r="D378" s="44">
        <f>+D375</f>
        <v>134069798.44</v>
      </c>
      <c r="E378" s="44"/>
      <c r="F378" s="44">
        <f>+F375</f>
        <v>61115635.356722221</v>
      </c>
      <c r="G378" s="44">
        <f t="shared" ref="G378:H378" si="68">+G375</f>
        <v>5972945.7386666667</v>
      </c>
      <c r="H378" s="44">
        <f t="shared" si="68"/>
        <v>67088581.095388897</v>
      </c>
      <c r="I378" s="44">
        <f>+I375</f>
        <v>66981217.344611101</v>
      </c>
      <c r="J378" s="44"/>
    </row>
    <row r="379" spans="1:12" ht="15.5" x14ac:dyDescent="0.35">
      <c r="A379" s="66" t="s">
        <v>347</v>
      </c>
      <c r="B379" s="63"/>
      <c r="C379" s="67" t="s">
        <v>348</v>
      </c>
      <c r="D379" s="38">
        <v>2303000</v>
      </c>
      <c r="E379" s="21">
        <v>0.1</v>
      </c>
      <c r="F379" s="38">
        <v>461879.44444444444</v>
      </c>
      <c r="G379" s="38">
        <f>E379*D379*6/12</f>
        <v>115150</v>
      </c>
      <c r="H379" s="38">
        <f t="shared" ref="H379:H442" si="69">G379+F379</f>
        <v>577029.4444444445</v>
      </c>
      <c r="I379" s="38">
        <f t="shared" ref="I379:I442" si="70">D379-H379</f>
        <v>1725970.5555555555</v>
      </c>
      <c r="J379" s="38"/>
      <c r="K379" s="60"/>
      <c r="L379" s="60"/>
    </row>
    <row r="380" spans="1:12" ht="15.5" x14ac:dyDescent="0.35">
      <c r="A380" s="66" t="s">
        <v>349</v>
      </c>
      <c r="B380" s="63"/>
      <c r="C380" s="67" t="s">
        <v>350</v>
      </c>
      <c r="D380" s="38">
        <v>4798835.2</v>
      </c>
      <c r="E380" s="21">
        <v>0.1</v>
      </c>
      <c r="F380" s="38">
        <v>955768.01066666679</v>
      </c>
      <c r="G380" s="38">
        <f t="shared" ref="G380:G443" si="71">E380*D380*6/12</f>
        <v>239941.76000000001</v>
      </c>
      <c r="H380" s="38">
        <f t="shared" si="69"/>
        <v>1195709.7706666668</v>
      </c>
      <c r="I380" s="38">
        <f t="shared" si="70"/>
        <v>3603125.4293333334</v>
      </c>
      <c r="J380" s="38"/>
      <c r="K380" s="60"/>
      <c r="L380" s="60"/>
    </row>
    <row r="381" spans="1:12" ht="15.5" x14ac:dyDescent="0.35">
      <c r="A381" s="66" t="s">
        <v>351</v>
      </c>
      <c r="B381" s="63"/>
      <c r="C381" s="67" t="s">
        <v>352</v>
      </c>
      <c r="D381" s="38">
        <v>269538</v>
      </c>
      <c r="E381" s="21">
        <v>0.1</v>
      </c>
      <c r="F381" s="38">
        <v>53233.755000000005</v>
      </c>
      <c r="G381" s="38">
        <f t="shared" si="71"/>
        <v>13476.900000000001</v>
      </c>
      <c r="H381" s="38">
        <f t="shared" si="69"/>
        <v>66710.654999999999</v>
      </c>
      <c r="I381" s="38">
        <f t="shared" si="70"/>
        <v>202827.345</v>
      </c>
      <c r="J381" s="38"/>
      <c r="K381" s="60"/>
      <c r="L381" s="60"/>
    </row>
    <row r="382" spans="1:12" ht="15.5" x14ac:dyDescent="0.35">
      <c r="A382" s="66" t="s">
        <v>353</v>
      </c>
      <c r="B382" s="63"/>
      <c r="C382" s="67" t="s">
        <v>354</v>
      </c>
      <c r="D382" s="38">
        <v>710500</v>
      </c>
      <c r="E382" s="21">
        <v>0.1</v>
      </c>
      <c r="F382" s="38">
        <v>139534.30555555556</v>
      </c>
      <c r="G382" s="38">
        <f t="shared" si="71"/>
        <v>35525</v>
      </c>
      <c r="H382" s="38">
        <f t="shared" si="69"/>
        <v>175059.30555555556</v>
      </c>
      <c r="I382" s="38">
        <f t="shared" si="70"/>
        <v>535440.6944444445</v>
      </c>
      <c r="J382" s="38"/>
      <c r="K382" s="60"/>
      <c r="L382" s="60"/>
    </row>
    <row r="383" spans="1:12" ht="15.5" x14ac:dyDescent="0.35">
      <c r="A383" s="66" t="s">
        <v>353</v>
      </c>
      <c r="B383" s="63"/>
      <c r="C383" s="67" t="s">
        <v>355</v>
      </c>
      <c r="D383" s="38">
        <v>331900</v>
      </c>
      <c r="E383" s="21">
        <v>0.1</v>
      </c>
      <c r="F383" s="38">
        <v>65181.472222222219</v>
      </c>
      <c r="G383" s="38">
        <f t="shared" si="71"/>
        <v>16595</v>
      </c>
      <c r="H383" s="38">
        <f t="shared" si="69"/>
        <v>81776.472222222219</v>
      </c>
      <c r="I383" s="38">
        <f t="shared" si="70"/>
        <v>250123.52777777778</v>
      </c>
      <c r="J383" s="38"/>
    </row>
    <row r="384" spans="1:12" ht="15.5" x14ac:dyDescent="0.35">
      <c r="A384" s="66" t="s">
        <v>353</v>
      </c>
      <c r="B384" s="63"/>
      <c r="C384" s="67" t="s">
        <v>356</v>
      </c>
      <c r="D384" s="38">
        <v>90000</v>
      </c>
      <c r="E384" s="21">
        <v>0.1</v>
      </c>
      <c r="F384" s="38">
        <v>17675</v>
      </c>
      <c r="G384" s="38">
        <f t="shared" si="71"/>
        <v>4500</v>
      </c>
      <c r="H384" s="38">
        <f t="shared" si="69"/>
        <v>22175</v>
      </c>
      <c r="I384" s="38">
        <f t="shared" si="70"/>
        <v>67825</v>
      </c>
      <c r="J384" s="38"/>
    </row>
    <row r="385" spans="1:10" ht="15.5" x14ac:dyDescent="0.35">
      <c r="A385" s="66" t="s">
        <v>357</v>
      </c>
      <c r="B385" s="63"/>
      <c r="C385" s="67" t="s">
        <v>358</v>
      </c>
      <c r="D385" s="38">
        <v>42317</v>
      </c>
      <c r="E385" s="21">
        <v>0.1</v>
      </c>
      <c r="F385" s="38">
        <v>8275.3244444444445</v>
      </c>
      <c r="G385" s="38">
        <f t="shared" si="71"/>
        <v>2115.85</v>
      </c>
      <c r="H385" s="38">
        <f t="shared" si="69"/>
        <v>10391.174444444445</v>
      </c>
      <c r="I385" s="38">
        <f t="shared" si="70"/>
        <v>31925.825555555555</v>
      </c>
      <c r="J385" s="38"/>
    </row>
    <row r="386" spans="1:10" ht="15.5" x14ac:dyDescent="0.35">
      <c r="A386" s="66" t="s">
        <v>359</v>
      </c>
      <c r="B386" s="63"/>
      <c r="C386" s="67" t="s">
        <v>360</v>
      </c>
      <c r="D386" s="38">
        <v>5550</v>
      </c>
      <c r="E386" s="21">
        <v>0.1</v>
      </c>
      <c r="F386" s="38">
        <v>1052.9583333333333</v>
      </c>
      <c r="G386" s="38">
        <f t="shared" si="71"/>
        <v>277.5</v>
      </c>
      <c r="H386" s="38">
        <f t="shared" si="69"/>
        <v>1330.4583333333333</v>
      </c>
      <c r="I386" s="38">
        <f t="shared" si="70"/>
        <v>4219.541666666667</v>
      </c>
      <c r="J386" s="38"/>
    </row>
    <row r="387" spans="1:10" ht="15.5" x14ac:dyDescent="0.35">
      <c r="A387" s="66" t="s">
        <v>361</v>
      </c>
      <c r="B387" s="63"/>
      <c r="C387" s="67" t="s">
        <v>362</v>
      </c>
      <c r="D387" s="38">
        <v>13000</v>
      </c>
      <c r="E387" s="21">
        <v>0.1</v>
      </c>
      <c r="F387" s="38">
        <v>2433.8888888888887</v>
      </c>
      <c r="G387" s="38">
        <f t="shared" si="71"/>
        <v>650</v>
      </c>
      <c r="H387" s="38">
        <f t="shared" si="69"/>
        <v>3083.8888888888887</v>
      </c>
      <c r="I387" s="38">
        <f t="shared" si="70"/>
        <v>9916.1111111111113</v>
      </c>
      <c r="J387" s="38"/>
    </row>
    <row r="388" spans="1:10" ht="15.5" x14ac:dyDescent="0.35">
      <c r="A388" s="66" t="s">
        <v>363</v>
      </c>
      <c r="B388" s="63"/>
      <c r="C388" s="67" t="s">
        <v>364</v>
      </c>
      <c r="D388" s="38">
        <v>355000</v>
      </c>
      <c r="E388" s="21">
        <v>0.1</v>
      </c>
      <c r="F388" s="38">
        <v>65181.944444444445</v>
      </c>
      <c r="G388" s="38">
        <f t="shared" si="71"/>
        <v>17750</v>
      </c>
      <c r="H388" s="38">
        <f t="shared" si="69"/>
        <v>82931.944444444438</v>
      </c>
      <c r="I388" s="38">
        <f t="shared" si="70"/>
        <v>272068.05555555556</v>
      </c>
      <c r="J388" s="38"/>
    </row>
    <row r="389" spans="1:10" ht="15.5" x14ac:dyDescent="0.35">
      <c r="A389" s="66" t="s">
        <v>365</v>
      </c>
      <c r="B389" s="63"/>
      <c r="C389" s="67" t="s">
        <v>366</v>
      </c>
      <c r="D389" s="38">
        <v>12027</v>
      </c>
      <c r="E389" s="21">
        <v>0.1</v>
      </c>
      <c r="F389" s="38">
        <v>2154.8375000000001</v>
      </c>
      <c r="G389" s="38">
        <f t="shared" si="71"/>
        <v>601.35</v>
      </c>
      <c r="H389" s="38">
        <f t="shared" si="69"/>
        <v>2756.1875</v>
      </c>
      <c r="I389" s="38">
        <f t="shared" si="70"/>
        <v>9270.8125</v>
      </c>
      <c r="J389" s="38"/>
    </row>
    <row r="390" spans="1:10" ht="15.5" x14ac:dyDescent="0.35">
      <c r="A390" s="66" t="s">
        <v>367</v>
      </c>
      <c r="B390" s="63"/>
      <c r="C390" s="67" t="s">
        <v>368</v>
      </c>
      <c r="D390" s="38">
        <v>132746.20000000001</v>
      </c>
      <c r="E390" s="21">
        <v>0.1</v>
      </c>
      <c r="F390" s="38">
        <v>22788.097666666672</v>
      </c>
      <c r="G390" s="38">
        <f t="shared" si="71"/>
        <v>6637.3100000000013</v>
      </c>
      <c r="H390" s="38">
        <f t="shared" si="69"/>
        <v>29425.407666666673</v>
      </c>
      <c r="I390" s="38">
        <f t="shared" si="70"/>
        <v>103320.79233333335</v>
      </c>
      <c r="J390" s="38"/>
    </row>
    <row r="391" spans="1:10" ht="15.5" x14ac:dyDescent="0.35">
      <c r="A391" s="66" t="s">
        <v>369</v>
      </c>
      <c r="B391" s="63"/>
      <c r="C391" s="67" t="s">
        <v>370</v>
      </c>
      <c r="D391" s="38">
        <v>1551000</v>
      </c>
      <c r="E391" s="21">
        <v>0.1</v>
      </c>
      <c r="F391" s="38">
        <v>257638.33333333331</v>
      </c>
      <c r="G391" s="38">
        <f t="shared" si="71"/>
        <v>77550</v>
      </c>
      <c r="H391" s="38">
        <f t="shared" si="69"/>
        <v>335188.33333333331</v>
      </c>
      <c r="I391" s="38">
        <f t="shared" si="70"/>
        <v>1215811.6666666667</v>
      </c>
      <c r="J391" s="38"/>
    </row>
    <row r="392" spans="1:10" ht="15.5" x14ac:dyDescent="0.35">
      <c r="A392" s="66" t="s">
        <v>371</v>
      </c>
      <c r="B392" s="63"/>
      <c r="C392" s="67" t="s">
        <v>372</v>
      </c>
      <c r="D392" s="38">
        <v>69600</v>
      </c>
      <c r="E392" s="21">
        <v>0.1</v>
      </c>
      <c r="F392" s="38">
        <v>11542</v>
      </c>
      <c r="G392" s="38">
        <f t="shared" si="71"/>
        <v>3480</v>
      </c>
      <c r="H392" s="38">
        <f t="shared" si="69"/>
        <v>15022</v>
      </c>
      <c r="I392" s="38">
        <f t="shared" si="70"/>
        <v>54578</v>
      </c>
      <c r="J392" s="38"/>
    </row>
    <row r="393" spans="1:10" ht="15.5" x14ac:dyDescent="0.35">
      <c r="A393" s="66" t="s">
        <v>373</v>
      </c>
      <c r="B393" s="63"/>
      <c r="C393" s="67" t="s">
        <v>374</v>
      </c>
      <c r="D393" s="38">
        <v>82568</v>
      </c>
      <c r="E393" s="21">
        <v>0.1</v>
      </c>
      <c r="F393" s="38">
        <v>13577.84888888889</v>
      </c>
      <c r="G393" s="38">
        <f t="shared" si="71"/>
        <v>4128.4000000000005</v>
      </c>
      <c r="H393" s="38">
        <f t="shared" si="69"/>
        <v>17706.248888888891</v>
      </c>
      <c r="I393" s="38">
        <f t="shared" si="70"/>
        <v>64861.751111111109</v>
      </c>
      <c r="J393" s="38"/>
    </row>
    <row r="394" spans="1:10" ht="15.5" x14ac:dyDescent="0.35">
      <c r="A394" s="66" t="s">
        <v>375</v>
      </c>
      <c r="B394" s="63"/>
      <c r="C394" s="67" t="s">
        <v>376</v>
      </c>
      <c r="D394" s="38">
        <v>7400</v>
      </c>
      <c r="E394" s="21">
        <v>0.1</v>
      </c>
      <c r="F394" s="38">
        <v>1202.5</v>
      </c>
      <c r="G394" s="38">
        <f t="shared" si="71"/>
        <v>370</v>
      </c>
      <c r="H394" s="38">
        <f t="shared" si="69"/>
        <v>1572.5</v>
      </c>
      <c r="I394" s="38">
        <f t="shared" si="70"/>
        <v>5827.5</v>
      </c>
      <c r="J394" s="38"/>
    </row>
    <row r="395" spans="1:10" ht="15.5" x14ac:dyDescent="0.35">
      <c r="A395" s="66" t="s">
        <v>377</v>
      </c>
      <c r="B395" s="63"/>
      <c r="C395" s="67" t="s">
        <v>378</v>
      </c>
      <c r="D395" s="38">
        <v>19125</v>
      </c>
      <c r="E395" s="21">
        <v>0.1</v>
      </c>
      <c r="F395" s="38">
        <v>3097.1875</v>
      </c>
      <c r="G395" s="38">
        <f t="shared" si="71"/>
        <v>956.25</v>
      </c>
      <c r="H395" s="38">
        <f t="shared" si="69"/>
        <v>4053.4375</v>
      </c>
      <c r="I395" s="38">
        <f t="shared" si="70"/>
        <v>15071.5625</v>
      </c>
      <c r="J395" s="38"/>
    </row>
    <row r="396" spans="1:10" ht="15.5" x14ac:dyDescent="0.35">
      <c r="A396" s="66" t="s">
        <v>379</v>
      </c>
      <c r="B396" s="63"/>
      <c r="C396" s="67" t="s">
        <v>380</v>
      </c>
      <c r="D396" s="38">
        <v>15780</v>
      </c>
      <c r="E396" s="21">
        <v>0.1</v>
      </c>
      <c r="F396" s="38">
        <v>2533.5666666666666</v>
      </c>
      <c r="G396" s="38">
        <f t="shared" si="71"/>
        <v>789</v>
      </c>
      <c r="H396" s="38">
        <f t="shared" si="69"/>
        <v>3322.5666666666666</v>
      </c>
      <c r="I396" s="38">
        <f t="shared" si="70"/>
        <v>12457.433333333334</v>
      </c>
      <c r="J396" s="38"/>
    </row>
    <row r="397" spans="1:10" ht="15.5" x14ac:dyDescent="0.35">
      <c r="A397" s="66" t="s">
        <v>379</v>
      </c>
      <c r="B397" s="63"/>
      <c r="C397" s="67" t="s">
        <v>381</v>
      </c>
      <c r="D397" s="38">
        <v>21500</v>
      </c>
      <c r="E397" s="21">
        <v>0.1</v>
      </c>
      <c r="F397" s="38">
        <v>3451.9444444444443</v>
      </c>
      <c r="G397" s="38">
        <f t="shared" si="71"/>
        <v>1075</v>
      </c>
      <c r="H397" s="38">
        <f t="shared" si="69"/>
        <v>4526.9444444444443</v>
      </c>
      <c r="I397" s="38">
        <f t="shared" si="70"/>
        <v>16973.055555555555</v>
      </c>
      <c r="J397" s="38"/>
    </row>
    <row r="398" spans="1:10" ht="15.5" x14ac:dyDescent="0.35">
      <c r="A398" s="66" t="s">
        <v>382</v>
      </c>
      <c r="B398" s="63"/>
      <c r="C398" s="67" t="s">
        <v>378</v>
      </c>
      <c r="D398" s="38">
        <v>18819</v>
      </c>
      <c r="E398" s="21">
        <v>0.1</v>
      </c>
      <c r="F398" s="38">
        <v>3000.5850000000005</v>
      </c>
      <c r="G398" s="38">
        <f t="shared" si="71"/>
        <v>940.95000000000016</v>
      </c>
      <c r="H398" s="38">
        <f t="shared" si="69"/>
        <v>3941.5350000000008</v>
      </c>
      <c r="I398" s="38">
        <f t="shared" si="70"/>
        <v>14877.465</v>
      </c>
      <c r="J398" s="38"/>
    </row>
    <row r="399" spans="1:10" ht="15.5" x14ac:dyDescent="0.35">
      <c r="A399" s="66" t="s">
        <v>382</v>
      </c>
      <c r="B399" s="63"/>
      <c r="C399" s="67" t="s">
        <v>383</v>
      </c>
      <c r="D399" s="38">
        <v>24150</v>
      </c>
      <c r="E399" s="21">
        <v>0.1</v>
      </c>
      <c r="F399" s="38">
        <v>3850.583333333333</v>
      </c>
      <c r="G399" s="38">
        <f t="shared" si="71"/>
        <v>1207.5</v>
      </c>
      <c r="H399" s="38">
        <f t="shared" si="69"/>
        <v>5058.083333333333</v>
      </c>
      <c r="I399" s="38">
        <f t="shared" si="70"/>
        <v>19091.916666666668</v>
      </c>
      <c r="J399" s="38"/>
    </row>
    <row r="400" spans="1:10" ht="15.5" x14ac:dyDescent="0.35">
      <c r="A400" s="66" t="s">
        <v>384</v>
      </c>
      <c r="B400" s="63"/>
      <c r="C400" s="67" t="s">
        <v>385</v>
      </c>
      <c r="D400" s="38">
        <v>172800</v>
      </c>
      <c r="E400" s="21">
        <v>0.1</v>
      </c>
      <c r="F400" s="38">
        <v>26976</v>
      </c>
      <c r="G400" s="38">
        <f t="shared" si="71"/>
        <v>8640</v>
      </c>
      <c r="H400" s="38">
        <f t="shared" si="69"/>
        <v>35616</v>
      </c>
      <c r="I400" s="38">
        <f t="shared" si="70"/>
        <v>137184</v>
      </c>
      <c r="J400" s="38"/>
    </row>
    <row r="401" spans="1:10" ht="15.5" x14ac:dyDescent="0.35">
      <c r="A401" s="66" t="s">
        <v>386</v>
      </c>
      <c r="B401" s="63"/>
      <c r="C401" s="67" t="s">
        <v>387</v>
      </c>
      <c r="D401" s="38">
        <v>44080</v>
      </c>
      <c r="E401" s="21">
        <v>0.1</v>
      </c>
      <c r="F401" s="38">
        <v>6636.4888888888891</v>
      </c>
      <c r="G401" s="38">
        <f t="shared" si="71"/>
        <v>2204</v>
      </c>
      <c r="H401" s="38">
        <f t="shared" si="69"/>
        <v>8840.4888888888891</v>
      </c>
      <c r="I401" s="38">
        <f t="shared" si="70"/>
        <v>35239.511111111111</v>
      </c>
      <c r="J401" s="38"/>
    </row>
    <row r="402" spans="1:10" ht="15.5" x14ac:dyDescent="0.35">
      <c r="A402" s="66" t="s">
        <v>388</v>
      </c>
      <c r="B402" s="63"/>
      <c r="C402" s="67" t="s">
        <v>389</v>
      </c>
      <c r="D402" s="38">
        <v>1319238</v>
      </c>
      <c r="E402" s="21">
        <v>0.1</v>
      </c>
      <c r="F402" s="38">
        <v>192755.33000000002</v>
      </c>
      <c r="G402" s="38">
        <f t="shared" si="71"/>
        <v>65961.900000000009</v>
      </c>
      <c r="H402" s="38">
        <f t="shared" si="69"/>
        <v>258717.23000000004</v>
      </c>
      <c r="I402" s="38">
        <f t="shared" si="70"/>
        <v>1060520.77</v>
      </c>
      <c r="J402" s="38"/>
    </row>
    <row r="403" spans="1:10" ht="15.5" x14ac:dyDescent="0.35">
      <c r="A403" s="66" t="s">
        <v>388</v>
      </c>
      <c r="B403" s="63"/>
      <c r="C403" s="67" t="s">
        <v>390</v>
      </c>
      <c r="D403" s="38">
        <v>11700</v>
      </c>
      <c r="E403" s="21">
        <v>0.1</v>
      </c>
      <c r="F403" s="38">
        <v>1709.5</v>
      </c>
      <c r="G403" s="38">
        <f t="shared" si="71"/>
        <v>585</v>
      </c>
      <c r="H403" s="38">
        <f t="shared" si="69"/>
        <v>2294.5</v>
      </c>
      <c r="I403" s="38">
        <f t="shared" si="70"/>
        <v>9405.5</v>
      </c>
      <c r="J403" s="38"/>
    </row>
    <row r="404" spans="1:10" ht="15.5" x14ac:dyDescent="0.35">
      <c r="A404" s="66" t="s">
        <v>391</v>
      </c>
      <c r="B404" s="63"/>
      <c r="C404" s="67" t="s">
        <v>392</v>
      </c>
      <c r="D404" s="38">
        <v>5000</v>
      </c>
      <c r="E404" s="21">
        <v>0.1</v>
      </c>
      <c r="F404" s="38">
        <v>701.38888888888891</v>
      </c>
      <c r="G404" s="38">
        <f t="shared" si="71"/>
        <v>250</v>
      </c>
      <c r="H404" s="38">
        <f t="shared" si="69"/>
        <v>951.38888888888891</v>
      </c>
      <c r="I404" s="38">
        <f t="shared" si="70"/>
        <v>4048.6111111111113</v>
      </c>
      <c r="J404" s="38"/>
    </row>
    <row r="405" spans="1:10" ht="15.5" x14ac:dyDescent="0.35">
      <c r="A405" s="66" t="s">
        <v>393</v>
      </c>
      <c r="B405" s="63"/>
      <c r="C405" s="67" t="s">
        <v>394</v>
      </c>
      <c r="D405" s="38">
        <v>2980</v>
      </c>
      <c r="E405" s="21">
        <v>0.1</v>
      </c>
      <c r="F405" s="38">
        <v>414.7166666666667</v>
      </c>
      <c r="G405" s="38">
        <f t="shared" si="71"/>
        <v>149</v>
      </c>
      <c r="H405" s="38">
        <f t="shared" si="69"/>
        <v>563.7166666666667</v>
      </c>
      <c r="I405" s="38">
        <f t="shared" si="70"/>
        <v>2416.2833333333333</v>
      </c>
      <c r="J405" s="38"/>
    </row>
    <row r="406" spans="1:10" ht="15.5" x14ac:dyDescent="0.35">
      <c r="A406" s="66" t="s">
        <v>395</v>
      </c>
      <c r="B406" s="63"/>
      <c r="C406" s="67" t="s">
        <v>396</v>
      </c>
      <c r="D406" s="38">
        <v>349615</v>
      </c>
      <c r="E406" s="21">
        <v>0.1</v>
      </c>
      <c r="F406" s="38">
        <v>45061.488888888889</v>
      </c>
      <c r="G406" s="38">
        <f t="shared" si="71"/>
        <v>17480.75</v>
      </c>
      <c r="H406" s="38">
        <f t="shared" si="69"/>
        <v>62542.238888888889</v>
      </c>
      <c r="I406" s="38">
        <f t="shared" si="70"/>
        <v>287072.76111111109</v>
      </c>
      <c r="J406" s="38"/>
    </row>
    <row r="407" spans="1:10" ht="15.5" x14ac:dyDescent="0.35">
      <c r="A407" s="66" t="s">
        <v>395</v>
      </c>
      <c r="B407" s="63"/>
      <c r="C407" s="67" t="s">
        <v>397</v>
      </c>
      <c r="D407" s="38">
        <v>1167558.3899999999</v>
      </c>
      <c r="E407" s="21">
        <v>0.1</v>
      </c>
      <c r="F407" s="38">
        <v>150485.30359999998</v>
      </c>
      <c r="G407" s="38">
        <f t="shared" si="71"/>
        <v>58377.919499999996</v>
      </c>
      <c r="H407" s="38">
        <f t="shared" si="69"/>
        <v>208863.22309999997</v>
      </c>
      <c r="I407" s="38">
        <f t="shared" si="70"/>
        <v>958695.16689999995</v>
      </c>
      <c r="J407" s="38"/>
    </row>
    <row r="408" spans="1:10" ht="15.5" x14ac:dyDescent="0.35">
      <c r="A408" s="66" t="s">
        <v>398</v>
      </c>
      <c r="B408" s="63"/>
      <c r="C408" s="67" t="s">
        <v>399</v>
      </c>
      <c r="D408" s="38">
        <v>36482</v>
      </c>
      <c r="E408" s="21">
        <v>0.1</v>
      </c>
      <c r="F408" s="38">
        <v>4509.5805555555562</v>
      </c>
      <c r="G408" s="38">
        <f t="shared" si="71"/>
        <v>1824.1000000000001</v>
      </c>
      <c r="H408" s="38">
        <f t="shared" si="69"/>
        <v>6333.6805555555566</v>
      </c>
      <c r="I408" s="38">
        <f t="shared" si="70"/>
        <v>30148.319444444445</v>
      </c>
      <c r="J408" s="38"/>
    </row>
    <row r="409" spans="1:10" ht="15.5" x14ac:dyDescent="0.35">
      <c r="A409" s="66" t="s">
        <v>398</v>
      </c>
      <c r="B409" s="63"/>
      <c r="C409" s="67" t="s">
        <v>400</v>
      </c>
      <c r="D409" s="38">
        <v>48340</v>
      </c>
      <c r="E409" s="21">
        <v>0.1</v>
      </c>
      <c r="F409" s="38">
        <v>5975.3611111111113</v>
      </c>
      <c r="G409" s="38">
        <f t="shared" si="71"/>
        <v>2417</v>
      </c>
      <c r="H409" s="38">
        <f t="shared" si="69"/>
        <v>8392.3611111111113</v>
      </c>
      <c r="I409" s="38">
        <f t="shared" si="70"/>
        <v>39947.638888888891</v>
      </c>
      <c r="J409" s="38"/>
    </row>
    <row r="410" spans="1:10" ht="15.5" x14ac:dyDescent="0.35">
      <c r="A410" s="66" t="s">
        <v>401</v>
      </c>
      <c r="B410" s="63"/>
      <c r="C410" s="67" t="s">
        <v>402</v>
      </c>
      <c r="D410" s="38">
        <v>1319238</v>
      </c>
      <c r="E410" s="21">
        <v>0.1</v>
      </c>
      <c r="F410" s="38">
        <v>161973.11000000002</v>
      </c>
      <c r="G410" s="38">
        <f t="shared" si="71"/>
        <v>65961.900000000009</v>
      </c>
      <c r="H410" s="38">
        <f t="shared" si="69"/>
        <v>227935.01</v>
      </c>
      <c r="I410" s="38">
        <f t="shared" si="70"/>
        <v>1091302.99</v>
      </c>
      <c r="J410" s="38"/>
    </row>
    <row r="411" spans="1:10" ht="15.5" x14ac:dyDescent="0.35">
      <c r="A411" s="66" t="s">
        <v>401</v>
      </c>
      <c r="B411" s="63"/>
      <c r="C411" s="67" t="s">
        <v>403</v>
      </c>
      <c r="D411" s="38">
        <v>20880</v>
      </c>
      <c r="E411" s="21">
        <v>0.1</v>
      </c>
      <c r="F411" s="38">
        <v>2563.6</v>
      </c>
      <c r="G411" s="38">
        <f t="shared" si="71"/>
        <v>1044</v>
      </c>
      <c r="H411" s="38">
        <f t="shared" si="69"/>
        <v>3607.6</v>
      </c>
      <c r="I411" s="38">
        <f t="shared" si="70"/>
        <v>17272.400000000001</v>
      </c>
      <c r="J411" s="38"/>
    </row>
    <row r="412" spans="1:10" ht="15.5" x14ac:dyDescent="0.35">
      <c r="A412" s="66" t="s">
        <v>401</v>
      </c>
      <c r="B412" s="63"/>
      <c r="C412" s="67" t="s">
        <v>404</v>
      </c>
      <c r="D412" s="38">
        <v>43500</v>
      </c>
      <c r="E412" s="21">
        <v>0.1</v>
      </c>
      <c r="F412" s="38">
        <v>5340.833333333333</v>
      </c>
      <c r="G412" s="38">
        <f t="shared" si="71"/>
        <v>2175</v>
      </c>
      <c r="H412" s="38">
        <f t="shared" si="69"/>
        <v>7515.833333333333</v>
      </c>
      <c r="I412" s="38">
        <f t="shared" si="70"/>
        <v>35984.166666666664</v>
      </c>
      <c r="J412" s="38"/>
    </row>
    <row r="413" spans="1:10" ht="15.5" x14ac:dyDescent="0.35">
      <c r="A413" s="66" t="s">
        <v>401</v>
      </c>
      <c r="B413" s="63"/>
      <c r="C413" s="67" t="s">
        <v>405</v>
      </c>
      <c r="D413" s="38">
        <v>180000</v>
      </c>
      <c r="E413" s="21">
        <v>0.1</v>
      </c>
      <c r="F413" s="38">
        <v>22100</v>
      </c>
      <c r="G413" s="38">
        <f t="shared" si="71"/>
        <v>9000</v>
      </c>
      <c r="H413" s="38">
        <f t="shared" si="69"/>
        <v>31100</v>
      </c>
      <c r="I413" s="38">
        <f t="shared" si="70"/>
        <v>148900</v>
      </c>
      <c r="J413" s="38"/>
    </row>
    <row r="414" spans="1:10" ht="15.5" x14ac:dyDescent="0.35">
      <c r="A414" s="66" t="s">
        <v>406</v>
      </c>
      <c r="B414" s="63"/>
      <c r="C414" s="67" t="s">
        <v>407</v>
      </c>
      <c r="D414" s="38">
        <v>16600</v>
      </c>
      <c r="E414" s="21">
        <v>0.1</v>
      </c>
      <c r="F414" s="38">
        <v>1955.1111111111111</v>
      </c>
      <c r="G414" s="38">
        <f t="shared" si="71"/>
        <v>830</v>
      </c>
      <c r="H414" s="38">
        <f t="shared" si="69"/>
        <v>2785.1111111111113</v>
      </c>
      <c r="I414" s="38">
        <f t="shared" si="70"/>
        <v>13814.888888888889</v>
      </c>
      <c r="J414" s="38"/>
    </row>
    <row r="415" spans="1:10" ht="15.5" x14ac:dyDescent="0.35">
      <c r="A415" s="66" t="s">
        <v>408</v>
      </c>
      <c r="B415" s="63"/>
      <c r="C415" s="67" t="s">
        <v>409</v>
      </c>
      <c r="D415" s="38">
        <v>75350</v>
      </c>
      <c r="E415" s="21">
        <v>0.1</v>
      </c>
      <c r="F415" s="38">
        <v>8560.5972222222226</v>
      </c>
      <c r="G415" s="38">
        <f t="shared" si="71"/>
        <v>3767.5</v>
      </c>
      <c r="H415" s="38">
        <f t="shared" si="69"/>
        <v>12328.097222222223</v>
      </c>
      <c r="I415" s="38">
        <f t="shared" si="70"/>
        <v>63021.902777777781</v>
      </c>
      <c r="J415" s="38"/>
    </row>
    <row r="416" spans="1:10" ht="15.5" x14ac:dyDescent="0.35">
      <c r="A416" s="66" t="s">
        <v>410</v>
      </c>
      <c r="B416" s="63"/>
      <c r="C416" s="67" t="s">
        <v>411</v>
      </c>
      <c r="D416" s="38">
        <v>13000</v>
      </c>
      <c r="E416" s="21">
        <v>0.1</v>
      </c>
      <c r="F416" s="38">
        <v>1473.3333333333333</v>
      </c>
      <c r="G416" s="38">
        <f t="shared" si="71"/>
        <v>650</v>
      </c>
      <c r="H416" s="38">
        <f t="shared" si="69"/>
        <v>2123.333333333333</v>
      </c>
      <c r="I416" s="38">
        <f t="shared" si="70"/>
        <v>10876.666666666668</v>
      </c>
      <c r="J416" s="38"/>
    </row>
    <row r="417" spans="1:12" ht="15.5" x14ac:dyDescent="0.35">
      <c r="A417" s="66" t="s">
        <v>412</v>
      </c>
      <c r="B417" s="63"/>
      <c r="C417" s="67" t="s">
        <v>413</v>
      </c>
      <c r="D417" s="38">
        <v>926611</v>
      </c>
      <c r="E417" s="21">
        <v>0.1</v>
      </c>
      <c r="F417" s="38">
        <v>100125.4663888889</v>
      </c>
      <c r="G417" s="38">
        <f t="shared" si="71"/>
        <v>46330.55000000001</v>
      </c>
      <c r="H417" s="38">
        <f t="shared" si="69"/>
        <v>146456.01638888891</v>
      </c>
      <c r="I417" s="38">
        <f t="shared" si="70"/>
        <v>780154.98361111106</v>
      </c>
      <c r="J417" s="38"/>
    </row>
    <row r="418" spans="1:12" ht="15.5" x14ac:dyDescent="0.35">
      <c r="A418" s="66" t="s">
        <v>414</v>
      </c>
      <c r="B418" s="63"/>
      <c r="C418" s="67" t="s">
        <v>415</v>
      </c>
      <c r="D418" s="38">
        <v>12800</v>
      </c>
      <c r="E418" s="21">
        <v>0.1</v>
      </c>
      <c r="F418" s="38">
        <v>1354.6666666666667</v>
      </c>
      <c r="G418" s="38">
        <f t="shared" si="71"/>
        <v>640</v>
      </c>
      <c r="H418" s="38">
        <f t="shared" si="69"/>
        <v>1994.6666666666667</v>
      </c>
      <c r="I418" s="38">
        <f t="shared" si="70"/>
        <v>10805.333333333334</v>
      </c>
      <c r="J418" s="38"/>
    </row>
    <row r="419" spans="1:12" ht="15.5" x14ac:dyDescent="0.35">
      <c r="A419" s="66" t="s">
        <v>416</v>
      </c>
      <c r="B419" s="63"/>
      <c r="C419" s="67" t="s">
        <v>417</v>
      </c>
      <c r="D419" s="38">
        <v>356066.88</v>
      </c>
      <c r="E419" s="21">
        <v>0.1</v>
      </c>
      <c r="F419" s="38">
        <v>36892.485066666668</v>
      </c>
      <c r="G419" s="38">
        <f t="shared" si="71"/>
        <v>17803.344000000001</v>
      </c>
      <c r="H419" s="38">
        <f>G419+F419</f>
        <v>54695.829066666673</v>
      </c>
      <c r="I419" s="38">
        <f>D419-H419</f>
        <v>301371.05093333335</v>
      </c>
      <c r="J419" s="38"/>
    </row>
    <row r="420" spans="1:12" ht="15.5" x14ac:dyDescent="0.35">
      <c r="A420" s="66" t="s">
        <v>414</v>
      </c>
      <c r="B420" s="63"/>
      <c r="C420" s="67" t="s">
        <v>418</v>
      </c>
      <c r="D420" s="38">
        <v>13688</v>
      </c>
      <c r="E420" s="21">
        <v>0.1</v>
      </c>
      <c r="F420" s="38">
        <v>1448.6466666666668</v>
      </c>
      <c r="G420" s="38">
        <f t="shared" si="71"/>
        <v>684.40000000000009</v>
      </c>
      <c r="H420" s="38">
        <f t="shared" si="69"/>
        <v>2133.0466666666671</v>
      </c>
      <c r="I420" s="38">
        <f t="shared" si="70"/>
        <v>11554.953333333333</v>
      </c>
      <c r="J420" s="38"/>
    </row>
    <row r="421" spans="1:12" ht="15.5" x14ac:dyDescent="0.35">
      <c r="A421" s="66" t="s">
        <v>419</v>
      </c>
      <c r="B421" s="63"/>
      <c r="C421" s="67" t="s">
        <v>420</v>
      </c>
      <c r="D421" s="38">
        <v>45000</v>
      </c>
      <c r="E421" s="21">
        <v>0.1</v>
      </c>
      <c r="F421" s="38">
        <v>4587.5</v>
      </c>
      <c r="G421" s="38">
        <f t="shared" si="71"/>
        <v>2250</v>
      </c>
      <c r="H421" s="38">
        <f t="shared" si="69"/>
        <v>6837.5</v>
      </c>
      <c r="I421" s="38">
        <f t="shared" si="70"/>
        <v>38162.5</v>
      </c>
      <c r="J421" s="38"/>
    </row>
    <row r="422" spans="1:12" ht="15.5" x14ac:dyDescent="0.35">
      <c r="A422" s="66" t="s">
        <v>351</v>
      </c>
      <c r="B422" s="63"/>
      <c r="C422" s="67" t="s">
        <v>421</v>
      </c>
      <c r="D422" s="38">
        <v>110000</v>
      </c>
      <c r="E422" s="21">
        <v>0.1</v>
      </c>
      <c r="F422" s="38">
        <v>21725</v>
      </c>
      <c r="G422" s="38">
        <f t="shared" si="71"/>
        <v>5500</v>
      </c>
      <c r="H422" s="38">
        <f t="shared" si="69"/>
        <v>27225</v>
      </c>
      <c r="I422" s="38">
        <f t="shared" si="70"/>
        <v>82775</v>
      </c>
      <c r="J422" s="38"/>
    </row>
    <row r="423" spans="1:12" ht="15.5" x14ac:dyDescent="0.35">
      <c r="A423" s="66" t="s">
        <v>351</v>
      </c>
      <c r="B423" s="63"/>
      <c r="C423" s="67" t="s">
        <v>422</v>
      </c>
      <c r="D423" s="38">
        <v>32565.5</v>
      </c>
      <c r="E423" s="21">
        <v>0.1</v>
      </c>
      <c r="F423" s="38">
        <v>6431.6862500000007</v>
      </c>
      <c r="G423" s="38">
        <f t="shared" si="71"/>
        <v>1628.2750000000003</v>
      </c>
      <c r="H423" s="38">
        <f t="shared" si="69"/>
        <v>8059.9612500000012</v>
      </c>
      <c r="I423" s="38">
        <f t="shared" si="70"/>
        <v>24505.53875</v>
      </c>
      <c r="J423" s="38"/>
    </row>
    <row r="424" spans="1:12" ht="15.5" x14ac:dyDescent="0.35">
      <c r="A424" s="66" t="s">
        <v>423</v>
      </c>
      <c r="B424" s="63"/>
      <c r="C424" s="67" t="s">
        <v>424</v>
      </c>
      <c r="D424" s="38">
        <v>10930</v>
      </c>
      <c r="E424" s="21">
        <v>0.1</v>
      </c>
      <c r="F424" s="38">
        <v>2155.6388888888887</v>
      </c>
      <c r="G424" s="38">
        <f t="shared" si="71"/>
        <v>546.5</v>
      </c>
      <c r="H424" s="38">
        <f t="shared" si="69"/>
        <v>2702.1388888888887</v>
      </c>
      <c r="I424" s="38">
        <f t="shared" si="70"/>
        <v>8227.8611111111113</v>
      </c>
      <c r="J424" s="38"/>
    </row>
    <row r="425" spans="1:12" ht="15.5" x14ac:dyDescent="0.35">
      <c r="A425" s="66" t="s">
        <v>353</v>
      </c>
      <c r="B425" s="63"/>
      <c r="C425" s="67" t="s">
        <v>425</v>
      </c>
      <c r="D425" s="38">
        <v>67571</v>
      </c>
      <c r="E425" s="21">
        <v>0.1</v>
      </c>
      <c r="F425" s="38">
        <v>13270.193611111114</v>
      </c>
      <c r="G425" s="38">
        <f t="shared" si="71"/>
        <v>3378.5500000000006</v>
      </c>
      <c r="H425" s="38">
        <f t="shared" si="69"/>
        <v>16648.743611111113</v>
      </c>
      <c r="I425" s="38">
        <f t="shared" si="70"/>
        <v>50922.256388888884</v>
      </c>
      <c r="J425" s="38"/>
    </row>
    <row r="426" spans="1:12" ht="15.5" x14ac:dyDescent="0.35">
      <c r="A426" s="66" t="s">
        <v>426</v>
      </c>
      <c r="B426" s="63"/>
      <c r="C426" s="67" t="s">
        <v>427</v>
      </c>
      <c r="D426" s="38">
        <v>18950</v>
      </c>
      <c r="E426" s="21">
        <v>0.1</v>
      </c>
      <c r="F426" s="38">
        <v>3626.8194444444443</v>
      </c>
      <c r="G426" s="38">
        <f t="shared" si="71"/>
        <v>947.5</v>
      </c>
      <c r="H426" s="38">
        <f t="shared" si="69"/>
        <v>4574.3194444444443</v>
      </c>
      <c r="I426" s="38">
        <f t="shared" si="70"/>
        <v>14375.680555555555</v>
      </c>
      <c r="J426" s="38"/>
    </row>
    <row r="427" spans="1:12" ht="15.5" x14ac:dyDescent="0.35">
      <c r="A427" s="66" t="s">
        <v>426</v>
      </c>
      <c r="B427" s="63"/>
      <c r="C427" s="67" t="s">
        <v>428</v>
      </c>
      <c r="D427" s="38">
        <v>27891</v>
      </c>
      <c r="E427" s="21">
        <v>0.1</v>
      </c>
      <c r="F427" s="38">
        <v>5338.0275000000001</v>
      </c>
      <c r="G427" s="38">
        <f t="shared" si="71"/>
        <v>1394.5500000000002</v>
      </c>
      <c r="H427" s="38">
        <f t="shared" si="69"/>
        <v>6732.5775000000003</v>
      </c>
      <c r="I427" s="38">
        <f t="shared" si="70"/>
        <v>21158.422500000001</v>
      </c>
      <c r="J427" s="38"/>
    </row>
    <row r="428" spans="1:12" ht="15.5" x14ac:dyDescent="0.35">
      <c r="A428" s="66" t="s">
        <v>429</v>
      </c>
      <c r="B428" s="63"/>
      <c r="C428" s="67" t="s">
        <v>430</v>
      </c>
      <c r="D428" s="38">
        <v>180000</v>
      </c>
      <c r="E428" s="21">
        <v>0.1</v>
      </c>
      <c r="F428" s="38">
        <v>33950</v>
      </c>
      <c r="G428" s="38">
        <f t="shared" si="71"/>
        <v>9000</v>
      </c>
      <c r="H428" s="38">
        <f t="shared" si="69"/>
        <v>42950</v>
      </c>
      <c r="I428" s="38">
        <f t="shared" si="70"/>
        <v>137050</v>
      </c>
      <c r="J428" s="38"/>
    </row>
    <row r="429" spans="1:12" ht="15.5" x14ac:dyDescent="0.35">
      <c r="A429" s="66" t="s">
        <v>429</v>
      </c>
      <c r="B429" s="63"/>
      <c r="C429" s="67" t="s">
        <v>431</v>
      </c>
      <c r="D429" s="38">
        <v>70756</v>
      </c>
      <c r="E429" s="21">
        <v>0.1</v>
      </c>
      <c r="F429" s="38">
        <v>13345.367777777778</v>
      </c>
      <c r="G429" s="38">
        <f t="shared" si="71"/>
        <v>3537.8000000000006</v>
      </c>
      <c r="H429" s="38">
        <f t="shared" si="69"/>
        <v>16883.167777777777</v>
      </c>
      <c r="I429" s="38">
        <f t="shared" si="70"/>
        <v>53872.83222222222</v>
      </c>
      <c r="J429" s="38"/>
      <c r="K429" s="60"/>
    </row>
    <row r="430" spans="1:12" ht="15.5" x14ac:dyDescent="0.35">
      <c r="A430" s="66" t="s">
        <v>432</v>
      </c>
      <c r="B430" s="63"/>
      <c r="C430" s="67" t="s">
        <v>433</v>
      </c>
      <c r="D430" s="38">
        <v>1318500</v>
      </c>
      <c r="E430" s="21">
        <v>0.1</v>
      </c>
      <c r="F430" s="38">
        <v>246120</v>
      </c>
      <c r="G430" s="38">
        <f t="shared" si="71"/>
        <v>65925</v>
      </c>
      <c r="H430" s="38">
        <f t="shared" si="69"/>
        <v>312045</v>
      </c>
      <c r="I430" s="38">
        <f t="shared" si="70"/>
        <v>1006455</v>
      </c>
      <c r="J430" s="38"/>
      <c r="K430" s="60"/>
    </row>
    <row r="431" spans="1:12" ht="15.5" x14ac:dyDescent="0.35">
      <c r="A431" s="66" t="s">
        <v>434</v>
      </c>
      <c r="B431" s="63"/>
      <c r="C431" s="67" t="s">
        <v>435</v>
      </c>
      <c r="D431" s="38">
        <v>72756</v>
      </c>
      <c r="E431" s="21">
        <v>0.1</v>
      </c>
      <c r="F431" s="38">
        <v>13379.02</v>
      </c>
      <c r="G431" s="38">
        <f t="shared" si="71"/>
        <v>3637.8000000000006</v>
      </c>
      <c r="H431" s="38">
        <f t="shared" si="69"/>
        <v>17016.82</v>
      </c>
      <c r="I431" s="38">
        <f t="shared" si="70"/>
        <v>55739.18</v>
      </c>
      <c r="J431" s="38"/>
      <c r="K431" s="60"/>
    </row>
    <row r="432" spans="1:12" ht="15.5" x14ac:dyDescent="0.35">
      <c r="A432" s="66" t="s">
        <v>436</v>
      </c>
      <c r="B432" s="63"/>
      <c r="C432" s="67" t="s">
        <v>437</v>
      </c>
      <c r="D432" s="38">
        <v>82568</v>
      </c>
      <c r="E432" s="21">
        <v>0.1</v>
      </c>
      <c r="F432" s="38">
        <v>14449.400000000001</v>
      </c>
      <c r="G432" s="38">
        <f t="shared" si="71"/>
        <v>4128.4000000000005</v>
      </c>
      <c r="H432" s="38">
        <f t="shared" si="69"/>
        <v>18577.800000000003</v>
      </c>
      <c r="I432" s="38">
        <f t="shared" si="70"/>
        <v>63990.2</v>
      </c>
      <c r="J432" s="38"/>
      <c r="K432" s="60"/>
      <c r="L432" s="64"/>
    </row>
    <row r="433" spans="1:11" ht="15.5" x14ac:dyDescent="0.35">
      <c r="A433" s="66" t="s">
        <v>373</v>
      </c>
      <c r="B433" s="63"/>
      <c r="C433" s="67" t="s">
        <v>438</v>
      </c>
      <c r="D433" s="38">
        <v>1318500</v>
      </c>
      <c r="E433" s="21">
        <v>0.1</v>
      </c>
      <c r="F433" s="38">
        <v>216820</v>
      </c>
      <c r="G433" s="38">
        <f t="shared" si="71"/>
        <v>65925</v>
      </c>
      <c r="H433" s="38">
        <f t="shared" si="69"/>
        <v>282745</v>
      </c>
      <c r="I433" s="38">
        <f t="shared" si="70"/>
        <v>1035755</v>
      </c>
      <c r="J433" s="38"/>
      <c r="K433" s="60"/>
    </row>
    <row r="434" spans="1:11" ht="15.5" x14ac:dyDescent="0.35">
      <c r="A434" s="66" t="s">
        <v>439</v>
      </c>
      <c r="B434" s="63"/>
      <c r="C434" s="67" t="s">
        <v>440</v>
      </c>
      <c r="D434" s="38">
        <v>5750</v>
      </c>
      <c r="E434" s="21">
        <v>0.1</v>
      </c>
      <c r="F434" s="38">
        <v>942.36111111111109</v>
      </c>
      <c r="G434" s="38">
        <f t="shared" si="71"/>
        <v>287.5</v>
      </c>
      <c r="H434" s="38">
        <f t="shared" si="69"/>
        <v>1229.8611111111111</v>
      </c>
      <c r="I434" s="38">
        <f t="shared" si="70"/>
        <v>4520.1388888888887</v>
      </c>
      <c r="J434" s="38"/>
      <c r="K434" s="60"/>
    </row>
    <row r="435" spans="1:11" ht="15.5" x14ac:dyDescent="0.35">
      <c r="A435" s="66" t="s">
        <v>382</v>
      </c>
      <c r="B435" s="63"/>
      <c r="C435" s="67" t="s">
        <v>441</v>
      </c>
      <c r="D435" s="38">
        <v>27753.5</v>
      </c>
      <c r="E435" s="21">
        <v>0.1</v>
      </c>
      <c r="F435" s="38">
        <v>4425.1413888888892</v>
      </c>
      <c r="G435" s="38">
        <f t="shared" si="71"/>
        <v>1387.6750000000002</v>
      </c>
      <c r="H435" s="38">
        <f t="shared" si="69"/>
        <v>5812.8163888888894</v>
      </c>
      <c r="I435" s="38">
        <f t="shared" si="70"/>
        <v>21940.683611111112</v>
      </c>
      <c r="J435" s="38"/>
    </row>
    <row r="436" spans="1:11" ht="15.5" x14ac:dyDescent="0.35">
      <c r="A436" s="66" t="s">
        <v>442</v>
      </c>
      <c r="B436" s="63"/>
      <c r="C436" s="67" t="s">
        <v>443</v>
      </c>
      <c r="D436" s="38">
        <v>1317522</v>
      </c>
      <c r="E436" s="21">
        <v>0.1</v>
      </c>
      <c r="F436" s="38">
        <v>207509.71500000003</v>
      </c>
      <c r="G436" s="38">
        <f t="shared" si="71"/>
        <v>65876.100000000006</v>
      </c>
      <c r="H436" s="38">
        <f t="shared" si="69"/>
        <v>273385.81500000006</v>
      </c>
      <c r="I436" s="38">
        <f t="shared" si="70"/>
        <v>1044136.1849999999</v>
      </c>
      <c r="J436" s="38"/>
    </row>
    <row r="437" spans="1:11" ht="15.5" x14ac:dyDescent="0.35">
      <c r="A437" s="66" t="s">
        <v>444</v>
      </c>
      <c r="B437" s="63"/>
      <c r="C437" s="67" t="s">
        <v>445</v>
      </c>
      <c r="D437" s="38">
        <v>7000</v>
      </c>
      <c r="E437" s="21">
        <v>0.1</v>
      </c>
      <c r="F437" s="38">
        <v>1077.2222222222222</v>
      </c>
      <c r="G437" s="38">
        <f t="shared" si="71"/>
        <v>350</v>
      </c>
      <c r="H437" s="38">
        <f t="shared" si="69"/>
        <v>1427.2222222222222</v>
      </c>
      <c r="I437" s="38">
        <f t="shared" si="70"/>
        <v>5572.7777777777774</v>
      </c>
      <c r="J437" s="38"/>
    </row>
    <row r="438" spans="1:11" ht="15.5" x14ac:dyDescent="0.35">
      <c r="A438" s="66" t="s">
        <v>446</v>
      </c>
      <c r="B438" s="63"/>
      <c r="C438" s="67" t="s">
        <v>447</v>
      </c>
      <c r="D438" s="38">
        <v>27753.5</v>
      </c>
      <c r="E438" s="21">
        <v>0.1</v>
      </c>
      <c r="F438" s="38">
        <v>4170.7343055555557</v>
      </c>
      <c r="G438" s="38">
        <f t="shared" si="71"/>
        <v>1387.6750000000002</v>
      </c>
      <c r="H438" s="38">
        <f t="shared" si="69"/>
        <v>5558.4093055555559</v>
      </c>
      <c r="I438" s="38">
        <f t="shared" si="70"/>
        <v>22195.090694444443</v>
      </c>
      <c r="J438" s="38"/>
    </row>
    <row r="439" spans="1:11" ht="15.5" x14ac:dyDescent="0.35">
      <c r="A439" s="66" t="s">
        <v>446</v>
      </c>
      <c r="B439" s="63"/>
      <c r="C439" s="67" t="s">
        <v>448</v>
      </c>
      <c r="D439" s="38">
        <v>16500</v>
      </c>
      <c r="E439" s="21">
        <v>0.1</v>
      </c>
      <c r="F439" s="38">
        <v>2479.5833333333335</v>
      </c>
      <c r="G439" s="38">
        <f t="shared" si="71"/>
        <v>825</v>
      </c>
      <c r="H439" s="38">
        <f t="shared" si="69"/>
        <v>3304.5833333333335</v>
      </c>
      <c r="I439" s="38">
        <f t="shared" si="70"/>
        <v>13195.416666666666</v>
      </c>
      <c r="J439" s="38"/>
    </row>
    <row r="440" spans="1:11" ht="15.5" x14ac:dyDescent="0.35">
      <c r="A440" s="66" t="s">
        <v>446</v>
      </c>
      <c r="B440" s="63"/>
      <c r="C440" s="67" t="s">
        <v>449</v>
      </c>
      <c r="D440" s="38">
        <v>9000</v>
      </c>
      <c r="E440" s="21">
        <v>0.1</v>
      </c>
      <c r="F440" s="38">
        <v>1352.5</v>
      </c>
      <c r="G440" s="38">
        <f t="shared" si="71"/>
        <v>450</v>
      </c>
      <c r="H440" s="38">
        <f t="shared" si="69"/>
        <v>1802.5</v>
      </c>
      <c r="I440" s="38">
        <f t="shared" si="70"/>
        <v>7197.5</v>
      </c>
      <c r="J440" s="38"/>
    </row>
    <row r="441" spans="1:11" ht="15.5" x14ac:dyDescent="0.35">
      <c r="A441" s="66" t="s">
        <v>450</v>
      </c>
      <c r="B441" s="63"/>
      <c r="C441" s="67" t="s">
        <v>451</v>
      </c>
      <c r="D441" s="38">
        <v>1167558.3899999999</v>
      </c>
      <c r="E441" s="21">
        <v>0.1</v>
      </c>
      <c r="F441" s="38">
        <v>170268.93187499998</v>
      </c>
      <c r="G441" s="38">
        <f t="shared" si="71"/>
        <v>58377.919499999996</v>
      </c>
      <c r="H441" s="38">
        <f t="shared" si="69"/>
        <v>228646.85137499997</v>
      </c>
      <c r="I441" s="38">
        <f t="shared" si="70"/>
        <v>938911.53862499993</v>
      </c>
      <c r="J441" s="38"/>
    </row>
    <row r="442" spans="1:11" ht="15.5" x14ac:dyDescent="0.35">
      <c r="A442" s="66" t="s">
        <v>452</v>
      </c>
      <c r="B442" s="63"/>
      <c r="C442" s="67" t="s">
        <v>453</v>
      </c>
      <c r="D442" s="38">
        <v>1317522</v>
      </c>
      <c r="E442" s="21">
        <v>0.1</v>
      </c>
      <c r="F442" s="38">
        <v>191040.69</v>
      </c>
      <c r="G442" s="38">
        <f t="shared" si="71"/>
        <v>65876.100000000006</v>
      </c>
      <c r="H442" s="38">
        <f t="shared" si="69"/>
        <v>256916.79</v>
      </c>
      <c r="I442" s="38">
        <f t="shared" si="70"/>
        <v>1060605.21</v>
      </c>
      <c r="J442" s="38"/>
    </row>
    <row r="443" spans="1:11" ht="15.5" x14ac:dyDescent="0.35">
      <c r="A443" s="66" t="s">
        <v>454</v>
      </c>
      <c r="B443" s="63"/>
      <c r="C443" s="67" t="s">
        <v>455</v>
      </c>
      <c r="D443" s="38">
        <v>33652.5</v>
      </c>
      <c r="E443" s="21">
        <v>0.1</v>
      </c>
      <c r="F443" s="38">
        <v>4804.8291666666664</v>
      </c>
      <c r="G443" s="38">
        <f t="shared" si="71"/>
        <v>1682.625</v>
      </c>
      <c r="H443" s="38">
        <f t="shared" ref="H443:H489" si="72">G443+F443</f>
        <v>6487.4541666666664</v>
      </c>
      <c r="I443" s="38">
        <f t="shared" ref="I443:I489" si="73">D443-H443</f>
        <v>27165.045833333334</v>
      </c>
      <c r="J443" s="38"/>
    </row>
    <row r="444" spans="1:11" ht="15.5" x14ac:dyDescent="0.35">
      <c r="A444" s="66" t="s">
        <v>456</v>
      </c>
      <c r="B444" s="63"/>
      <c r="C444" s="67" t="s">
        <v>457</v>
      </c>
      <c r="D444" s="38">
        <v>4800</v>
      </c>
      <c r="E444" s="21">
        <v>0.1</v>
      </c>
      <c r="F444" s="38">
        <v>656</v>
      </c>
      <c r="G444" s="38">
        <f t="shared" ref="G444:G453" si="74">E444*D444*6/12</f>
        <v>240</v>
      </c>
      <c r="H444" s="38">
        <f t="shared" si="72"/>
        <v>896</v>
      </c>
      <c r="I444" s="38">
        <f t="shared" si="73"/>
        <v>3904</v>
      </c>
      <c r="J444" s="38"/>
    </row>
    <row r="445" spans="1:11" ht="15.5" x14ac:dyDescent="0.35">
      <c r="A445" s="66" t="s">
        <v>458</v>
      </c>
      <c r="B445" s="63"/>
      <c r="C445" s="67" t="s">
        <v>459</v>
      </c>
      <c r="D445" s="38">
        <v>40739</v>
      </c>
      <c r="E445" s="21">
        <v>0.1</v>
      </c>
      <c r="F445" s="38">
        <v>5239.4880555555555</v>
      </c>
      <c r="G445" s="38">
        <f t="shared" si="74"/>
        <v>2036.95</v>
      </c>
      <c r="H445" s="38">
        <f t="shared" si="72"/>
        <v>7276.4380555555554</v>
      </c>
      <c r="I445" s="38">
        <f t="shared" si="73"/>
        <v>33462.561944444446</v>
      </c>
      <c r="J445" s="38"/>
    </row>
    <row r="446" spans="1:11" ht="15.5" x14ac:dyDescent="0.35">
      <c r="A446" s="66" t="s">
        <v>460</v>
      </c>
      <c r="B446" s="63"/>
      <c r="C446" s="67" t="s">
        <v>461</v>
      </c>
      <c r="D446" s="38">
        <v>255625</v>
      </c>
      <c r="E446" s="21">
        <v>0.1</v>
      </c>
      <c r="F446" s="38">
        <v>29893.923611111109</v>
      </c>
      <c r="G446" s="38">
        <f t="shared" si="74"/>
        <v>12781.25</v>
      </c>
      <c r="H446" s="38">
        <f t="shared" si="72"/>
        <v>42675.173611111109</v>
      </c>
      <c r="I446" s="38">
        <f t="shared" si="73"/>
        <v>212949.82638888888</v>
      </c>
      <c r="J446" s="38"/>
    </row>
    <row r="447" spans="1:11" ht="15.5" x14ac:dyDescent="0.35">
      <c r="A447" s="66" t="s">
        <v>462</v>
      </c>
      <c r="B447" s="63"/>
      <c r="C447" s="67" t="s">
        <v>463</v>
      </c>
      <c r="D447" s="38">
        <v>55000</v>
      </c>
      <c r="E447" s="21">
        <v>0.1</v>
      </c>
      <c r="F447" s="38">
        <v>6156.9444444444443</v>
      </c>
      <c r="G447" s="38">
        <f t="shared" si="74"/>
        <v>2750</v>
      </c>
      <c r="H447" s="38">
        <f t="shared" si="72"/>
        <v>8906.9444444444453</v>
      </c>
      <c r="I447" s="38">
        <f t="shared" si="73"/>
        <v>46093.055555555555</v>
      </c>
      <c r="J447" s="38"/>
    </row>
    <row r="448" spans="1:11" ht="15.5" x14ac:dyDescent="0.35">
      <c r="A448" s="66" t="s">
        <v>464</v>
      </c>
      <c r="B448" s="63"/>
      <c r="C448" s="67" t="s">
        <v>465</v>
      </c>
      <c r="D448" s="38">
        <v>460600</v>
      </c>
      <c r="E448" s="21">
        <v>0.1</v>
      </c>
      <c r="F448" s="38">
        <v>51433.666666666664</v>
      </c>
      <c r="G448" s="38">
        <f t="shared" si="74"/>
        <v>23030</v>
      </c>
      <c r="H448" s="38">
        <f t="shared" si="72"/>
        <v>74463.666666666657</v>
      </c>
      <c r="I448" s="38">
        <f t="shared" si="73"/>
        <v>386136.33333333337</v>
      </c>
      <c r="J448" s="38"/>
    </row>
    <row r="449" spans="1:10" ht="15.5" x14ac:dyDescent="0.35">
      <c r="A449" s="66" t="s">
        <v>464</v>
      </c>
      <c r="B449" s="63"/>
      <c r="C449" s="67" t="s">
        <v>466</v>
      </c>
      <c r="D449" s="38">
        <v>19600</v>
      </c>
      <c r="E449" s="21">
        <v>0.1</v>
      </c>
      <c r="F449" s="38">
        <v>2188.6666666666665</v>
      </c>
      <c r="G449" s="38">
        <f t="shared" si="74"/>
        <v>980</v>
      </c>
      <c r="H449" s="38">
        <f t="shared" si="72"/>
        <v>3168.6666666666665</v>
      </c>
      <c r="I449" s="38">
        <f t="shared" si="73"/>
        <v>16431.333333333332</v>
      </c>
      <c r="J449" s="38"/>
    </row>
    <row r="450" spans="1:10" ht="15.5" x14ac:dyDescent="0.35">
      <c r="A450" s="66" t="s">
        <v>467</v>
      </c>
      <c r="B450" s="63"/>
      <c r="C450" s="67" t="s">
        <v>468</v>
      </c>
      <c r="D450" s="38">
        <v>127000</v>
      </c>
      <c r="E450" s="21">
        <v>0.1</v>
      </c>
      <c r="F450" s="38">
        <v>13617.222222222223</v>
      </c>
      <c r="G450" s="38">
        <f t="shared" si="74"/>
        <v>6350</v>
      </c>
      <c r="H450" s="38">
        <f t="shared" si="72"/>
        <v>19967.222222222223</v>
      </c>
      <c r="I450" s="38">
        <f t="shared" si="73"/>
        <v>107032.77777777778</v>
      </c>
      <c r="J450" s="38"/>
    </row>
    <row r="451" spans="1:10" ht="15.5" x14ac:dyDescent="0.35">
      <c r="A451" s="66" t="s">
        <v>467</v>
      </c>
      <c r="B451" s="63"/>
      <c r="C451" s="67" t="s">
        <v>469</v>
      </c>
      <c r="D451" s="38">
        <v>1317522</v>
      </c>
      <c r="E451" s="21">
        <v>0.1</v>
      </c>
      <c r="F451" s="38">
        <v>141267.63666666669</v>
      </c>
      <c r="G451" s="38">
        <f t="shared" si="74"/>
        <v>65876.100000000006</v>
      </c>
      <c r="H451" s="38">
        <f t="shared" si="72"/>
        <v>207143.73666666669</v>
      </c>
      <c r="I451" s="38">
        <f t="shared" si="73"/>
        <v>1110378.2633333332</v>
      </c>
      <c r="J451" s="38"/>
    </row>
    <row r="452" spans="1:10" ht="15.5" x14ac:dyDescent="0.35">
      <c r="A452" s="66" t="s">
        <v>470</v>
      </c>
      <c r="B452" s="63"/>
      <c r="C452" s="67" t="s">
        <v>471</v>
      </c>
      <c r="D452" s="38">
        <v>255625</v>
      </c>
      <c r="E452" s="21">
        <v>0.1</v>
      </c>
      <c r="F452" s="38">
        <v>27124.652777777777</v>
      </c>
      <c r="G452" s="38">
        <f t="shared" si="74"/>
        <v>12781.25</v>
      </c>
      <c r="H452" s="38">
        <f t="shared" si="72"/>
        <v>39905.902777777781</v>
      </c>
      <c r="I452" s="38">
        <f t="shared" si="73"/>
        <v>215719.09722222222</v>
      </c>
      <c r="J452" s="38"/>
    </row>
    <row r="453" spans="1:10" ht="15.5" x14ac:dyDescent="0.35">
      <c r="A453" s="66" t="s">
        <v>472</v>
      </c>
      <c r="B453" s="63"/>
      <c r="C453" s="67" t="s">
        <v>473</v>
      </c>
      <c r="D453" s="38">
        <v>183000</v>
      </c>
      <c r="E453" s="21">
        <v>0.1</v>
      </c>
      <c r="F453" s="38">
        <v>19316.666666666668</v>
      </c>
      <c r="G453" s="38">
        <f t="shared" si="74"/>
        <v>9150</v>
      </c>
      <c r="H453" s="38">
        <f t="shared" si="72"/>
        <v>28466.666666666668</v>
      </c>
      <c r="I453" s="38">
        <f t="shared" si="73"/>
        <v>154533.33333333334</v>
      </c>
      <c r="J453" s="38"/>
    </row>
    <row r="454" spans="1:10" ht="13" x14ac:dyDescent="0.3">
      <c r="A454" s="42">
        <v>45657</v>
      </c>
      <c r="B454" s="43"/>
      <c r="C454" s="43" t="s">
        <v>474</v>
      </c>
      <c r="D454" s="44">
        <f>SUM(D378:D453)</f>
        <v>161085191.49999994</v>
      </c>
      <c r="E454" s="44"/>
      <c r="F454" s="44">
        <f>SUM(F378:F453)</f>
        <v>65469867.183097251</v>
      </c>
      <c r="G454" s="44">
        <f t="shared" ref="G454:H454" si="75">SUM(G378:G453)</f>
        <v>7323715.3916666647</v>
      </c>
      <c r="H454" s="44">
        <f t="shared" si="75"/>
        <v>72793582.574763909</v>
      </c>
      <c r="I454" s="44">
        <f>SUM(I378:I453)</f>
        <v>88291608.925236091</v>
      </c>
      <c r="J454" s="44"/>
    </row>
    <row r="455" spans="1:10" x14ac:dyDescent="0.25">
      <c r="D455" s="60"/>
      <c r="F455" s="60"/>
    </row>
    <row r="456" spans="1:10" x14ac:dyDescent="0.25">
      <c r="D456" s="64"/>
      <c r="E456" s="64"/>
      <c r="F456" s="64"/>
    </row>
    <row r="457" spans="1:10" ht="13" x14ac:dyDescent="0.3">
      <c r="A457" s="42">
        <v>45658</v>
      </c>
      <c r="B457" s="43"/>
      <c r="C457" s="43" t="s">
        <v>475</v>
      </c>
      <c r="D457" s="44">
        <f>+D454</f>
        <v>161085191.49999994</v>
      </c>
      <c r="E457" s="44"/>
      <c r="F457" s="44">
        <f>+F454</f>
        <v>65469867.183097251</v>
      </c>
      <c r="G457" s="44">
        <f t="shared" ref="G457:H457" si="76">+G454</f>
        <v>7323715.3916666647</v>
      </c>
      <c r="H457" s="44">
        <f t="shared" si="76"/>
        <v>72793582.574763909</v>
      </c>
      <c r="I457" s="44">
        <f>+I454</f>
        <v>88291608.925236091</v>
      </c>
      <c r="J457" s="44"/>
    </row>
    <row r="458" spans="1:10" ht="15.5" x14ac:dyDescent="0.35">
      <c r="A458" s="67" t="s">
        <v>476</v>
      </c>
      <c r="B458" s="63"/>
      <c r="C458" s="67" t="s">
        <v>477</v>
      </c>
      <c r="D458" s="38">
        <v>85000</v>
      </c>
      <c r="E458" s="21">
        <v>0.1</v>
      </c>
      <c r="F458" s="38">
        <v>7555.5555555555557</v>
      </c>
      <c r="G458" s="38">
        <f>D458*E458*6/12</f>
        <v>4250</v>
      </c>
      <c r="H458" s="38">
        <f t="shared" ref="H458:H473" si="77">G458+F458</f>
        <v>11805.555555555555</v>
      </c>
      <c r="I458" s="38">
        <f t="shared" ref="I458:I471" si="78">D458-H458</f>
        <v>73194.444444444438</v>
      </c>
      <c r="J458" s="38"/>
    </row>
    <row r="459" spans="1:10" ht="15.5" x14ac:dyDescent="0.35">
      <c r="A459" s="67" t="s">
        <v>478</v>
      </c>
      <c r="B459" s="63"/>
      <c r="C459" s="67" t="s">
        <v>479</v>
      </c>
      <c r="D459" s="38">
        <v>611153</v>
      </c>
      <c r="E459" s="21">
        <v>0.1</v>
      </c>
      <c r="F459" s="38">
        <v>51948.005000000005</v>
      </c>
      <c r="G459" s="38">
        <f t="shared" ref="G459:G473" si="79">D459*E459*6/12</f>
        <v>30557.650000000005</v>
      </c>
      <c r="H459" s="38">
        <f t="shared" si="77"/>
        <v>82505.655000000013</v>
      </c>
      <c r="I459" s="38">
        <f t="shared" si="78"/>
        <v>528647.34499999997</v>
      </c>
      <c r="J459" s="38"/>
    </row>
    <row r="460" spans="1:10" ht="15.5" x14ac:dyDescent="0.35">
      <c r="A460" s="67" t="s">
        <v>480</v>
      </c>
      <c r="B460" s="63"/>
      <c r="C460" s="67" t="s">
        <v>481</v>
      </c>
      <c r="D460" s="38">
        <v>85000</v>
      </c>
      <c r="E460" s="21">
        <v>0.1</v>
      </c>
      <c r="F460" s="38">
        <v>7083.333333333333</v>
      </c>
      <c r="G460" s="38">
        <f t="shared" si="79"/>
        <v>4250</v>
      </c>
      <c r="H460" s="38">
        <f t="shared" si="77"/>
        <v>11333.333333333332</v>
      </c>
      <c r="I460" s="38">
        <f t="shared" si="78"/>
        <v>73666.666666666672</v>
      </c>
      <c r="J460" s="38"/>
    </row>
    <row r="461" spans="1:10" ht="15.5" x14ac:dyDescent="0.35">
      <c r="A461" s="67" t="s">
        <v>482</v>
      </c>
      <c r="B461" s="63"/>
      <c r="C461" s="67" t="s">
        <v>483</v>
      </c>
      <c r="D461" s="38">
        <v>611153</v>
      </c>
      <c r="E461" s="21">
        <v>0.1</v>
      </c>
      <c r="F461" s="38">
        <v>43120.239444444451</v>
      </c>
      <c r="G461" s="38">
        <f t="shared" si="79"/>
        <v>30557.650000000005</v>
      </c>
      <c r="H461" s="38">
        <f t="shared" si="77"/>
        <v>73677.88944444446</v>
      </c>
      <c r="I461" s="38">
        <f t="shared" si="78"/>
        <v>537475.11055555556</v>
      </c>
      <c r="J461" s="38"/>
    </row>
    <row r="462" spans="1:10" ht="15.5" x14ac:dyDescent="0.35">
      <c r="A462" s="67" t="s">
        <v>484</v>
      </c>
      <c r="B462" s="63"/>
      <c r="C462" s="67" t="s">
        <v>485</v>
      </c>
      <c r="D462" s="38">
        <v>611153</v>
      </c>
      <c r="E462" s="21">
        <v>0.1</v>
      </c>
      <c r="F462" s="38">
        <v>35820.356388888889</v>
      </c>
      <c r="G462" s="38">
        <f t="shared" si="79"/>
        <v>30557.650000000005</v>
      </c>
      <c r="H462" s="38">
        <f t="shared" si="77"/>
        <v>66378.006388888898</v>
      </c>
      <c r="I462" s="38">
        <f t="shared" si="78"/>
        <v>544774.99361111107</v>
      </c>
      <c r="J462" s="38"/>
    </row>
    <row r="463" spans="1:10" ht="15.5" x14ac:dyDescent="0.35">
      <c r="A463" s="67" t="s">
        <v>484</v>
      </c>
      <c r="B463" s="63"/>
      <c r="C463" s="67" t="s">
        <v>486</v>
      </c>
      <c r="D463" s="38">
        <v>270000</v>
      </c>
      <c r="E463" s="21">
        <v>0.1</v>
      </c>
      <c r="F463" s="38">
        <v>15825</v>
      </c>
      <c r="G463" s="38">
        <f t="shared" si="79"/>
        <v>13500</v>
      </c>
      <c r="H463" s="38">
        <f t="shared" si="77"/>
        <v>29325</v>
      </c>
      <c r="I463" s="38">
        <f t="shared" si="78"/>
        <v>240675</v>
      </c>
      <c r="J463" s="38"/>
    </row>
    <row r="464" spans="1:10" ht="15.5" x14ac:dyDescent="0.35">
      <c r="A464" s="67" t="s">
        <v>487</v>
      </c>
      <c r="B464" s="63"/>
      <c r="C464" s="67" t="s">
        <v>488</v>
      </c>
      <c r="D464" s="38">
        <v>56100</v>
      </c>
      <c r="E464" s="21">
        <v>0.1</v>
      </c>
      <c r="F464" s="38">
        <v>5532.083333333333</v>
      </c>
      <c r="G464" s="38">
        <f t="shared" si="79"/>
        <v>2805</v>
      </c>
      <c r="H464" s="38">
        <f t="shared" si="77"/>
        <v>8337.0833333333321</v>
      </c>
      <c r="I464" s="38">
        <f t="shared" si="78"/>
        <v>47762.916666666672</v>
      </c>
      <c r="J464" s="38"/>
    </row>
    <row r="465" spans="1:10" ht="15.5" x14ac:dyDescent="0.35">
      <c r="A465" s="67" t="s">
        <v>482</v>
      </c>
      <c r="B465" s="63"/>
      <c r="C465" s="67" t="s">
        <v>489</v>
      </c>
      <c r="D465" s="38">
        <v>439174</v>
      </c>
      <c r="E465" s="21">
        <v>0.1</v>
      </c>
      <c r="F465" s="38">
        <v>30986.165555555555</v>
      </c>
      <c r="G465" s="38">
        <f t="shared" si="79"/>
        <v>21958.7</v>
      </c>
      <c r="H465" s="38">
        <f t="shared" si="77"/>
        <v>52944.86555555556</v>
      </c>
      <c r="I465" s="38">
        <f t="shared" si="78"/>
        <v>386229.13444444444</v>
      </c>
      <c r="J465" s="38"/>
    </row>
    <row r="466" spans="1:10" ht="15.5" x14ac:dyDescent="0.35">
      <c r="A466" s="67" t="s">
        <v>482</v>
      </c>
      <c r="B466" s="63"/>
      <c r="C466" s="67" t="s">
        <v>490</v>
      </c>
      <c r="D466" s="38">
        <v>216000</v>
      </c>
      <c r="E466" s="21">
        <v>0.1</v>
      </c>
      <c r="F466" s="38">
        <v>15240</v>
      </c>
      <c r="G466" s="38">
        <f t="shared" si="79"/>
        <v>10800</v>
      </c>
      <c r="H466" s="38">
        <f t="shared" si="77"/>
        <v>26040</v>
      </c>
      <c r="I466" s="38">
        <f t="shared" si="78"/>
        <v>189960</v>
      </c>
      <c r="J466" s="38"/>
    </row>
    <row r="467" spans="1:10" ht="15.5" x14ac:dyDescent="0.35">
      <c r="A467" s="67" t="s">
        <v>491</v>
      </c>
      <c r="B467" s="63"/>
      <c r="C467" s="67" t="s">
        <v>492</v>
      </c>
      <c r="D467" s="38">
        <v>118688.96000000001</v>
      </c>
      <c r="E467" s="21">
        <v>0.1</v>
      </c>
      <c r="F467" s="38">
        <v>7352.1216888888894</v>
      </c>
      <c r="G467" s="38">
        <f t="shared" si="79"/>
        <v>5934.4480000000003</v>
      </c>
      <c r="H467" s="38">
        <f t="shared" si="77"/>
        <v>13286.569688888889</v>
      </c>
      <c r="I467" s="38">
        <f t="shared" si="78"/>
        <v>105402.39031111111</v>
      </c>
      <c r="J467" s="38"/>
    </row>
    <row r="468" spans="1:10" ht="15.5" x14ac:dyDescent="0.35">
      <c r="A468" s="67" t="s">
        <v>493</v>
      </c>
      <c r="B468" s="63"/>
      <c r="C468" s="67" t="s">
        <v>494</v>
      </c>
      <c r="D468" s="38">
        <v>270446</v>
      </c>
      <c r="E468" s="21">
        <v>0.1</v>
      </c>
      <c r="F468" s="38">
        <v>13597.42388888889</v>
      </c>
      <c r="G468" s="38">
        <f t="shared" si="79"/>
        <v>13522.300000000001</v>
      </c>
      <c r="H468" s="38">
        <f t="shared" si="77"/>
        <v>27119.72388888889</v>
      </c>
      <c r="I468" s="38">
        <f t="shared" si="78"/>
        <v>243326.2761111111</v>
      </c>
      <c r="J468" s="38"/>
    </row>
    <row r="469" spans="1:10" ht="15.5" x14ac:dyDescent="0.35">
      <c r="A469" s="67" t="s">
        <v>493</v>
      </c>
      <c r="B469" s="63"/>
      <c r="C469" s="67" t="s">
        <v>495</v>
      </c>
      <c r="D469" s="38">
        <v>59344.480000000003</v>
      </c>
      <c r="E469" s="21">
        <v>0.1</v>
      </c>
      <c r="F469" s="38">
        <v>2983.7085777777779</v>
      </c>
      <c r="G469" s="38">
        <f t="shared" si="79"/>
        <v>2967.2240000000002</v>
      </c>
      <c r="H469" s="38">
        <f t="shared" si="77"/>
        <v>5950.9325777777776</v>
      </c>
      <c r="I469" s="38">
        <f t="shared" si="78"/>
        <v>53393.547422222226</v>
      </c>
      <c r="J469" s="38"/>
    </row>
    <row r="470" spans="1:10" ht="15.5" x14ac:dyDescent="0.35">
      <c r="A470" s="67" t="s">
        <v>496</v>
      </c>
      <c r="B470" s="63"/>
      <c r="C470" s="67" t="s">
        <v>497</v>
      </c>
      <c r="D470" s="38">
        <v>89020</v>
      </c>
      <c r="E470" s="21">
        <v>0.1</v>
      </c>
      <c r="F470" s="38">
        <v>3610.2555555555555</v>
      </c>
      <c r="G470" s="38">
        <f t="shared" si="79"/>
        <v>4451</v>
      </c>
      <c r="H470" s="38">
        <f t="shared" si="77"/>
        <v>8061.2555555555555</v>
      </c>
      <c r="I470" s="38">
        <f t="shared" si="78"/>
        <v>80958.744444444441</v>
      </c>
      <c r="J470" s="38"/>
    </row>
    <row r="471" spans="1:10" ht="15.5" x14ac:dyDescent="0.35">
      <c r="A471" s="67" t="s">
        <v>498</v>
      </c>
      <c r="B471" s="63"/>
      <c r="C471" s="67" t="s">
        <v>499</v>
      </c>
      <c r="D471" s="38">
        <v>89020</v>
      </c>
      <c r="E471" s="21">
        <v>0.1</v>
      </c>
      <c r="F471" s="38">
        <v>2621.1444444444446</v>
      </c>
      <c r="G471" s="38">
        <f t="shared" si="79"/>
        <v>4451</v>
      </c>
      <c r="H471" s="38">
        <f t="shared" si="77"/>
        <v>7072.1444444444442</v>
      </c>
      <c r="I471" s="38">
        <f t="shared" si="78"/>
        <v>81947.85555555555</v>
      </c>
      <c r="J471" s="38"/>
    </row>
    <row r="472" spans="1:10" ht="15.5" x14ac:dyDescent="0.35">
      <c r="A472" s="67" t="s">
        <v>500</v>
      </c>
      <c r="B472" s="63"/>
      <c r="C472" s="67" t="s">
        <v>501</v>
      </c>
      <c r="D472" s="38">
        <v>57600</v>
      </c>
      <c r="E472" s="21">
        <v>0.1</v>
      </c>
      <c r="F472" s="38">
        <v>1456</v>
      </c>
      <c r="G472" s="38">
        <f t="shared" si="79"/>
        <v>2880</v>
      </c>
      <c r="H472" s="38">
        <f t="shared" si="77"/>
        <v>4336</v>
      </c>
      <c r="I472" s="38">
        <f>D472-H472</f>
        <v>53264</v>
      </c>
      <c r="J472" s="38"/>
    </row>
    <row r="473" spans="1:10" ht="15.5" x14ac:dyDescent="0.35">
      <c r="A473" s="67" t="s">
        <v>502</v>
      </c>
      <c r="B473" s="63"/>
      <c r="C473" s="67" t="s">
        <v>503</v>
      </c>
      <c r="D473" s="38">
        <v>203719</v>
      </c>
      <c r="E473" s="21">
        <v>0.1</v>
      </c>
      <c r="F473" s="38">
        <v>1641.0697222222225</v>
      </c>
      <c r="G473" s="38">
        <f t="shared" si="79"/>
        <v>10185.950000000001</v>
      </c>
      <c r="H473" s="38">
        <f t="shared" si="77"/>
        <v>11827.019722222223</v>
      </c>
      <c r="I473" s="38">
        <f>D473-H473</f>
        <v>191891.98027777777</v>
      </c>
      <c r="J473" s="38"/>
    </row>
    <row r="474" spans="1:10" ht="13" x14ac:dyDescent="0.3">
      <c r="A474" s="42">
        <v>46022</v>
      </c>
      <c r="B474" s="43"/>
      <c r="C474" s="43" t="s">
        <v>504</v>
      </c>
      <c r="D474" s="44">
        <f>SUM(D457:D473)</f>
        <v>164957762.93999994</v>
      </c>
      <c r="E474" s="44"/>
      <c r="F474" s="44">
        <f t="shared" ref="F474:I474" si="80">SUM(F457:F473)</f>
        <v>65716239.64558614</v>
      </c>
      <c r="G474" s="44">
        <f t="shared" ref="G474" si="81">SUM(G457:G473)</f>
        <v>7517343.9636666663</v>
      </c>
      <c r="H474" s="44">
        <f t="shared" ref="H474" si="82">SUM(H457:H473)</f>
        <v>73233583.609252781</v>
      </c>
      <c r="I474" s="44">
        <f t="shared" si="80"/>
        <v>91724179.330747202</v>
      </c>
      <c r="J474" s="44"/>
    </row>
    <row r="475" spans="1:10" x14ac:dyDescent="0.25">
      <c r="D475" s="58"/>
      <c r="F475" s="60"/>
      <c r="G475" s="60"/>
      <c r="H475" s="64"/>
    </row>
    <row r="476" spans="1:10" ht="13" x14ac:dyDescent="0.3">
      <c r="F476" s="68"/>
      <c r="G476" s="60"/>
      <c r="H476" s="64"/>
    </row>
    <row r="477" spans="1:10" ht="13" x14ac:dyDescent="0.3">
      <c r="A477" s="42">
        <v>46023</v>
      </c>
      <c r="B477" s="43"/>
      <c r="C477" s="43" t="s">
        <v>505</v>
      </c>
      <c r="D477" s="44">
        <f>+D474</f>
        <v>164957762.93999994</v>
      </c>
      <c r="E477" s="44"/>
      <c r="F477" s="44">
        <f>+F474</f>
        <v>65716239.64558614</v>
      </c>
      <c r="G477" s="44">
        <f t="shared" ref="G477:H477" si="83">+G474</f>
        <v>7517343.9636666663</v>
      </c>
      <c r="H477" s="44">
        <f t="shared" si="83"/>
        <v>73233583.609252781</v>
      </c>
      <c r="I477" s="44">
        <f>+I474</f>
        <v>91724179.330747202</v>
      </c>
      <c r="J477" s="44"/>
    </row>
    <row r="478" spans="1:10" ht="15.5" x14ac:dyDescent="0.35">
      <c r="A478" s="67" t="s">
        <v>506</v>
      </c>
      <c r="B478" s="63"/>
      <c r="C478" s="67" t="s">
        <v>507</v>
      </c>
      <c r="D478" s="38">
        <v>203500</v>
      </c>
      <c r="E478" s="21">
        <v>0.1</v>
      </c>
      <c r="F478" s="69"/>
      <c r="G478" s="38">
        <f>($C$5-A478)/360*D478*E478</f>
        <v>9892.3611111111113</v>
      </c>
      <c r="H478" s="38">
        <f>G478+F478</f>
        <v>9892.3611111111113</v>
      </c>
      <c r="I478" s="38">
        <f>D478-H478</f>
        <v>193607.63888888888</v>
      </c>
      <c r="J478" s="38" t="s">
        <v>508</v>
      </c>
    </row>
    <row r="479" spans="1:10" ht="15.5" x14ac:dyDescent="0.35">
      <c r="A479" s="67" t="s">
        <v>509</v>
      </c>
      <c r="B479" s="63"/>
      <c r="C479" s="67" t="s">
        <v>510</v>
      </c>
      <c r="D479" s="38">
        <v>24000</v>
      </c>
      <c r="E479" s="21">
        <v>0.1</v>
      </c>
      <c r="F479" s="69"/>
      <c r="G479" s="38">
        <f>($C$5-A479)/360*D479*E479</f>
        <v>566.66666666666674</v>
      </c>
      <c r="H479" s="38">
        <f>G479+F479</f>
        <v>566.66666666666674</v>
      </c>
      <c r="I479" s="38">
        <f>D479-H479</f>
        <v>23433.333333333332</v>
      </c>
      <c r="J479" s="38" t="s">
        <v>508</v>
      </c>
    </row>
    <row r="480" spans="1:10" ht="13" x14ac:dyDescent="0.3">
      <c r="A480" s="42">
        <v>46203</v>
      </c>
      <c r="B480" s="43"/>
      <c r="C480" s="43" t="s">
        <v>511</v>
      </c>
      <c r="D480" s="44">
        <f>SUM(D477:D479)</f>
        <v>165185262.93999994</v>
      </c>
      <c r="E480" s="44"/>
      <c r="F480" s="70">
        <f>SUM(F477:F479)</f>
        <v>65716239.64558614</v>
      </c>
      <c r="G480" s="44">
        <f>SUM(G477:G479)</f>
        <v>7527802.9914444443</v>
      </c>
      <c r="H480" s="44">
        <f>SUM(H477:H479)</f>
        <v>73244042.637030557</v>
      </c>
      <c r="I480" s="44">
        <f>SUM(I477:I479)</f>
        <v>91941220.302969426</v>
      </c>
      <c r="J480" s="44"/>
    </row>
    <row r="481" spans="6:7" x14ac:dyDescent="0.25">
      <c r="F481" s="60"/>
    </row>
    <row r="482" spans="6:7" ht="13" x14ac:dyDescent="0.3">
      <c r="F482" s="71"/>
      <c r="G482" s="49"/>
    </row>
  </sheetData>
  <mergeCells count="1">
    <mergeCell ref="J7:J8"/>
  </mergeCells>
  <pageMargins left="0.23622047244094491" right="0.15748031496062992" top="0.39370078740157483" bottom="0.15748031496062992" header="0.27559055118110237" footer="0.51181102362204722"/>
  <pageSetup paperSize="9" scale="86" orientation="landscape" r:id="rId1"/>
  <headerFooter alignWithMargins="0"/>
  <rowBreaks count="7" manualBreakCount="7">
    <brk id="49" max="16383" man="1"/>
    <brk id="98" max="16383" man="1"/>
    <brk id="146" max="16383" man="1"/>
    <brk id="196" max="16383" man="1"/>
    <brk id="291" max="16383" man="1"/>
    <brk id="431" max="8" man="1"/>
    <brk id="47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aai</vt:lpstr>
      <vt:lpstr>aai!Zone_d_impression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Banque El Amana</dc:creator>
  <cp:lastModifiedBy>Banque El Amana</cp:lastModifiedBy>
  <dcterms:created xsi:type="dcterms:W3CDTF">2026-07-25T16:19:28Z</dcterms:created>
  <dcterms:modified xsi:type="dcterms:W3CDTF">2026-07-25T17:14:38Z</dcterms:modified>
</cp:coreProperties>
</file>